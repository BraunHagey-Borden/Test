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Matter Tracker" sheetId="2" state="visible" r:id="rId4"/>
    <sheet name="Box Register" sheetId="3" state="visible" r:id="rId5"/>
    <sheet name="Change Log" sheetId="4" state="visible" r:id="rId6"/>
    <sheet name="Original - Matters" sheetId="5" state="visible" r:id="rId7"/>
    <sheet name="Original - Flagged" sheetId="6" state="visible" r:id="rId8"/>
  </sheets>
  <definedNames>
    <definedName function="false" hidden="true" localSheetId="2" name="_xlnm._FilterDatabase" vbProcedure="false">'Box Register'!$A$1:$M$369</definedName>
    <definedName function="false" hidden="true" localSheetId="1" name="_xlnm._FilterDatabase" vbProcedure="false">'Matter Tracker'!$A$1:$M$200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<sst xmlns="http://schemas.openxmlformats.org/spreadsheetml/2006/main" count="3574" uniqueCount="1450">
  <si>
    <t xml:space="preserve">Records Destruction &amp; Close-Out Tracker</t>
  </si>
  <si>
    <t xml:space="preserve">Tabs</t>
  </si>
  <si>
    <t xml:space="preserve">Matter Tracker - one row per client/matter. Use it to get partner sign-off and track close-out letters and shredding.</t>
  </si>
  <si>
    <t xml:space="preserve">Box Register - one row per box. Assign each box to a matter and record the partner decision.</t>
  </si>
  <si>
    <t xml:space="preserve">Change Log - every cleanup change made to the original Master Record Sheet.</t>
  </si>
  <si>
    <t xml:space="preserve">Original - Matters / Original - Flagged - unchanged copies of the original tabs for reference.</t>
  </si>
  <si>
    <t xml:space="preserve">Yellow cells are for you to fill in. Everything else is either carried over from the original sheet or calculated.</t>
  </si>
  <si>
    <t xml:space="preserve">Workflow</t>
  </si>
  <si>
    <t xml:space="preserve">1. Box Register: filter Box Type to "Needs ID", "Needs Matter Assignment" and "Mixed - Multiple Matters" and assign a Client and Matter to each box. "Names Mentioned" is a keyword hint only - confirm before relying on it.</t>
  </si>
  <si>
    <t xml:space="preserve">2. Add any new client/matter to the Matter Tracker. The Box Register Matter must match the Matter Tracker Matter exactly for the box count to work.</t>
  </si>
  <si>
    <t xml:space="preserve">3. Send each Responsible Partner their matters for approval. Before approving, confirm no protective order, litigation hold, or related active matter covers the files.</t>
  </si>
  <si>
    <t xml:space="preserve">4. Once approved, send the client close-out letter and enter the date. The response deadline fills in automatically (days set below).</t>
  </si>
  <si>
    <t xml:space="preserve">5. After the deadline passes with no request for the files, shred, then record the shred date and destruction certificate number.</t>
  </si>
  <si>
    <t xml:space="preserve">6. Boxes flagged as possibly holding originals go back to the client, not to the shredder.</t>
  </si>
  <si>
    <t xml:space="preserve">Client response window (days)</t>
  </si>
  <si>
    <t xml:space="preserve">Placeholder - set to the firm's retention-notice period.</t>
  </si>
  <si>
    <t xml:space="preserve">Client</t>
  </si>
  <si>
    <t xml:space="preserve">Matter</t>
  </si>
  <si>
    <t xml:space="preserve">Matter #</t>
  </si>
  <si>
    <t xml:space="preserve"># Boxes</t>
  </si>
  <si>
    <t xml:space="preserve">Responsible Partner</t>
  </si>
  <si>
    <t xml:space="preserve">Partner Approved</t>
  </si>
  <si>
    <t xml:space="preserve">Approval Date</t>
  </si>
  <si>
    <t xml:space="preserve">Close-Out Letter Sent</t>
  </si>
  <si>
    <t xml:space="preserve">Client Response Deadline</t>
  </si>
  <si>
    <t xml:space="preserve">Client Response</t>
  </si>
  <si>
    <t xml:space="preserve">Shred Date</t>
  </si>
  <si>
    <t xml:space="preserve">Destruction Certificate #</t>
  </si>
  <si>
    <t xml:space="preserve">Notes</t>
  </si>
  <si>
    <t xml:space="preserve">Optronic Technologies</t>
  </si>
  <si>
    <t xml:space="preserve">Optronic Technologies - Orion v Celestron Fraudulent Transfer Action - 11348</t>
  </si>
  <si>
    <t xml:space="preserve">11348</t>
  </si>
  <si>
    <t xml:space="preserve">Pending</t>
  </si>
  <si>
    <t xml:space="preserve">Lyell Wealth</t>
  </si>
  <si>
    <t xml:space="preserve">Lyell Wealth - BNY/Atherton Litigation - 10416</t>
  </si>
  <si>
    <t xml:space="preserve">10416</t>
  </si>
  <si>
    <t xml:space="preserve">Once Upon a Farm</t>
  </si>
  <si>
    <t xml:space="preserve">Once Upon a Farm - Trademark - 15071</t>
  </si>
  <si>
    <t xml:space="preserve">15071</t>
  </si>
  <si>
    <t xml:space="preserve">Outdoorsy, Inc.</t>
  </si>
  <si>
    <t xml:space="preserve">Outdoorsy, Inc. - BFG Acquisition - 14862</t>
  </si>
  <si>
    <t xml:space="preserve">14862</t>
  </si>
  <si>
    <t xml:space="preserve">Pirate Brands</t>
  </si>
  <si>
    <t xml:space="preserve">Pirate Brands - Robert Ehrlich Dispute - 10173</t>
  </si>
  <si>
    <t xml:space="preserve">10173</t>
  </si>
  <si>
    <t xml:space="preserve">Polychain Capital LP</t>
  </si>
  <si>
    <t xml:space="preserve">Polychain Capital LP - General - 14573</t>
  </si>
  <si>
    <t xml:space="preserve">14573</t>
  </si>
  <si>
    <t xml:space="preserve">Carbon Investment Partners, LLC</t>
  </si>
  <si>
    <t xml:space="preserve">Carbon Investment Partners, LLC - Bressler Dispute - 10599</t>
  </si>
  <si>
    <t xml:space="preserve">10599</t>
  </si>
  <si>
    <t xml:space="preserve">B&amp;G Foods</t>
  </si>
  <si>
    <t xml:space="preserve">B&amp;G Foods - General - 10183</t>
  </si>
  <si>
    <t xml:space="preserve">10183</t>
  </si>
  <si>
    <t xml:space="preserve">Nature's Bakery</t>
  </si>
  <si>
    <t xml:space="preserve">No matter # in original sheet</t>
  </si>
  <si>
    <t xml:space="preserve">Smashmallow, LLC</t>
  </si>
  <si>
    <t xml:space="preserve">Smashmallow, LLC - Wolfgang Confectioners Dispute - 11943</t>
  </si>
  <si>
    <t xml:space="preserve">11943</t>
  </si>
  <si>
    <t xml:space="preserve">Stephen Horn Insurance Services</t>
  </si>
  <si>
    <t xml:space="preserve">Stephen Horn Insurance Services - Employment - 12695</t>
  </si>
  <si>
    <t xml:space="preserve">12695</t>
  </si>
  <si>
    <t xml:space="preserve">Devoto-Wade LLC d/b/a Golden State Cider</t>
  </si>
  <si>
    <t xml:space="preserve">Devoto-Wade LLC d/b/a Golden State Cider - Fee Dispute - 14679</t>
  </si>
  <si>
    <t xml:space="preserve">14679</t>
  </si>
  <si>
    <t xml:space="preserve">Box #</t>
  </si>
  <si>
    <t xml:space="preserve">Box Label</t>
  </si>
  <si>
    <t xml:space="preserve">Contents</t>
  </si>
  <si>
    <t xml:space="preserve">Names Mentioned (hint)</t>
  </si>
  <si>
    <t xml:space="preserve">Box Type</t>
  </si>
  <si>
    <t xml:space="preserve">Partner Decision</t>
  </si>
  <si>
    <t xml:space="preserve">Decision Date</t>
  </si>
  <si>
    <t xml:space="preserve">Issues to Resolve</t>
  </si>
  <si>
    <t xml:space="preserve">Source in Original Sheet</t>
  </si>
  <si>
    <t xml:space="preserve">R101339072</t>
  </si>
  <si>
    <t xml:space="preserve">Client File</t>
  </si>
  <si>
    <t xml:space="preserve">Matters + Records row 2</t>
  </si>
  <si>
    <t xml:space="preserve">R101339073</t>
  </si>
  <si>
    <t xml:space="preserve">Matters + Records row 3</t>
  </si>
  <si>
    <t xml:space="preserve">R101339074</t>
  </si>
  <si>
    <t xml:space="preserve">Matters + Records row 4</t>
  </si>
  <si>
    <t xml:space="preserve">R101339075</t>
  </si>
  <si>
    <t xml:space="preserve">Matters + Records row 5</t>
  </si>
  <si>
    <t xml:space="preserve">R101339076</t>
  </si>
  <si>
    <t xml:space="preserve">Matters + Records row 6</t>
  </si>
  <si>
    <t xml:space="preserve">R101339077</t>
  </si>
  <si>
    <t xml:space="preserve">Matters + Records row 7</t>
  </si>
  <si>
    <t xml:space="preserve">R101339078</t>
  </si>
  <si>
    <t xml:space="preserve">Matters + Records row 8</t>
  </si>
  <si>
    <t xml:space="preserve">R101339079</t>
  </si>
  <si>
    <t xml:space="preserve">Matters + Records row 9</t>
  </si>
  <si>
    <t xml:space="preserve">R101339080</t>
  </si>
  <si>
    <t xml:space="preserve">Matters + Records row 10</t>
  </si>
  <si>
    <t xml:space="preserve">R101339081</t>
  </si>
  <si>
    <t xml:space="preserve">Matters + Records row 11</t>
  </si>
  <si>
    <t xml:space="preserve">R101339082</t>
  </si>
  <si>
    <t xml:space="preserve">Matters + Records row 12</t>
  </si>
  <si>
    <t xml:space="preserve">R101339083</t>
  </si>
  <si>
    <t xml:space="preserve">Matters + Records row 13</t>
  </si>
  <si>
    <t xml:space="preserve">R101339084</t>
  </si>
  <si>
    <t xml:space="preserve">Matters + Records row 14</t>
  </si>
  <si>
    <t xml:space="preserve">R101339085</t>
  </si>
  <si>
    <t xml:space="preserve">Matters + Records row 15</t>
  </si>
  <si>
    <t xml:space="preserve">R101339086</t>
  </si>
  <si>
    <t xml:space="preserve">Matters + Records row 16</t>
  </si>
  <si>
    <t xml:space="preserve">R101339087</t>
  </si>
  <si>
    <t xml:space="preserve">Matters + Records row 17</t>
  </si>
  <si>
    <t xml:space="preserve">R101339088</t>
  </si>
  <si>
    <t xml:space="preserve">Matters + Records row 18</t>
  </si>
  <si>
    <t xml:space="preserve">R101339089</t>
  </si>
  <si>
    <t xml:space="preserve">Matters + Records row 19</t>
  </si>
  <si>
    <t xml:space="preserve">R101339090</t>
  </si>
  <si>
    <t xml:space="preserve">Matters + Records row 20</t>
  </si>
  <si>
    <t xml:space="preserve">R101339091</t>
  </si>
  <si>
    <t xml:space="preserve">Matters + Records row 21</t>
  </si>
  <si>
    <t xml:space="preserve">R101339092</t>
  </si>
  <si>
    <t xml:space="preserve">Matters + Records row 22</t>
  </si>
  <si>
    <t xml:space="preserve">R101339093</t>
  </si>
  <si>
    <t xml:space="preserve">Matters + Records row 23</t>
  </si>
  <si>
    <t xml:space="preserve">R101339094</t>
  </si>
  <si>
    <t xml:space="preserve">Matters + Records row 24</t>
  </si>
  <si>
    <t xml:space="preserve">R101339095</t>
  </si>
  <si>
    <t xml:space="preserve">Matters + Records row 25</t>
  </si>
  <si>
    <t xml:space="preserve">R101339096</t>
  </si>
  <si>
    <t xml:space="preserve">Matters + Records row 26</t>
  </si>
  <si>
    <t xml:space="preserve">R101339097</t>
  </si>
  <si>
    <t xml:space="preserve">Matters + Records row 27</t>
  </si>
  <si>
    <t xml:space="preserve">R101339098</t>
  </si>
  <si>
    <t xml:space="preserve">Matters + Records row 28</t>
  </si>
  <si>
    <t xml:space="preserve">R101339099</t>
  </si>
  <si>
    <t xml:space="preserve">Matters + Records row 29</t>
  </si>
  <si>
    <t xml:space="preserve">R101339100</t>
  </si>
  <si>
    <t xml:space="preserve">Matters + Records row 30</t>
  </si>
  <si>
    <t xml:space="preserve">R101339101</t>
  </si>
  <si>
    <t xml:space="preserve">Matters + Records row 31</t>
  </si>
  <si>
    <t xml:space="preserve">R101399102</t>
  </si>
  <si>
    <t xml:space="preserve">Matters + Records row 32</t>
  </si>
  <si>
    <t xml:space="preserve">R102648126</t>
  </si>
  <si>
    <t xml:space="preserve">Matters + Records row 33</t>
  </si>
  <si>
    <t xml:space="preserve">R102648125</t>
  </si>
  <si>
    <t xml:space="preserve">Matters + Records row 34</t>
  </si>
  <si>
    <t xml:space="preserve">R102648128</t>
  </si>
  <si>
    <t xml:space="preserve">Matters + Records row 35</t>
  </si>
  <si>
    <t xml:space="preserve">R102648127</t>
  </si>
  <si>
    <t xml:space="preserve">Matters + Records row 36</t>
  </si>
  <si>
    <t xml:space="preserve">R102648129</t>
  </si>
  <si>
    <t xml:space="preserve">Matters + Records row 37</t>
  </si>
  <si>
    <t xml:space="preserve">R102648130</t>
  </si>
  <si>
    <t xml:space="preserve">Matters + Records row 38</t>
  </si>
  <si>
    <t xml:space="preserve">R102648131</t>
  </si>
  <si>
    <t xml:space="preserve">Matters + Records row 39</t>
  </si>
  <si>
    <t xml:space="preserve">R102648132</t>
  </si>
  <si>
    <t xml:space="preserve">Matters + Records row 40</t>
  </si>
  <si>
    <t xml:space="preserve">R102354511</t>
  </si>
  <si>
    <t xml:space="preserve">Box # also listed at Matters + Records row 56</t>
  </si>
  <si>
    <t xml:space="preserve">Matters + Records row 41</t>
  </si>
  <si>
    <t xml:space="preserve">R102648295</t>
  </si>
  <si>
    <t xml:space="preserve">Box # also listed at Matters + Records row 97, Flagged Issues row 175</t>
  </si>
  <si>
    <t xml:space="preserve">Matters + Records row 42</t>
  </si>
  <si>
    <t xml:space="preserve">R102648156</t>
  </si>
  <si>
    <t xml:space="preserve">Box # also listed at Flagged Issues row 154</t>
  </si>
  <si>
    <t xml:space="preserve">Matters + Records row 43</t>
  </si>
  <si>
    <t xml:space="preserve">R101399104</t>
  </si>
  <si>
    <t xml:space="preserve">Matters + Records row 44</t>
  </si>
  <si>
    <t xml:space="preserve">R101399103</t>
  </si>
  <si>
    <t xml:space="preserve">Matters + Records row 45</t>
  </si>
  <si>
    <t xml:space="preserve">R101399105</t>
  </si>
  <si>
    <t xml:space="preserve">Matters + Records row 46</t>
  </si>
  <si>
    <t xml:space="preserve">R102648138</t>
  </si>
  <si>
    <t xml:space="preserve">Matters + Records row 47</t>
  </si>
  <si>
    <t xml:space="preserve">R102648139</t>
  </si>
  <si>
    <t xml:space="preserve">Matters + Records row 48</t>
  </si>
  <si>
    <t xml:space="preserve">R101339111</t>
  </si>
  <si>
    <t xml:space="preserve">Matters + Records row 49</t>
  </si>
  <si>
    <t xml:space="preserve">R102648136</t>
  </si>
  <si>
    <t xml:space="preserve">Matters + Records row 50</t>
  </si>
  <si>
    <t xml:space="preserve">R102648141</t>
  </si>
  <si>
    <t xml:space="preserve">Matters + Records row 51</t>
  </si>
  <si>
    <t xml:space="preserve">R102648135</t>
  </si>
  <si>
    <t xml:space="preserve">Matters + Records row 52</t>
  </si>
  <si>
    <t xml:space="preserve">R102648140</t>
  </si>
  <si>
    <t xml:space="preserve">Matters + Records row 53</t>
  </si>
  <si>
    <t xml:space="preserve">R102648289</t>
  </si>
  <si>
    <t xml:space="preserve">Matters + Records row 54</t>
  </si>
  <si>
    <t xml:space="preserve">R102648290</t>
  </si>
  <si>
    <t xml:space="preserve">Matters + Records row 55</t>
  </si>
  <si>
    <t xml:space="preserve">Box # also listed at Matters + Records row 41</t>
  </si>
  <si>
    <t xml:space="preserve">Matters + Records row 56</t>
  </si>
  <si>
    <t xml:space="preserve">R102354498</t>
  </si>
  <si>
    <t xml:space="preserve">Matters + Records row 57</t>
  </si>
  <si>
    <t xml:space="preserve">R102354582</t>
  </si>
  <si>
    <t xml:space="preserve">Matters + Records row 58</t>
  </si>
  <si>
    <t xml:space="preserve">R102648294</t>
  </si>
  <si>
    <t xml:space="preserve">Box # also listed at Flagged Issues row 178</t>
  </si>
  <si>
    <t xml:space="preserve">Matters + Records row 59</t>
  </si>
  <si>
    <t xml:space="preserve">R102354530</t>
  </si>
  <si>
    <t xml:space="preserve">Was spelled "cyell"</t>
  </si>
  <si>
    <t xml:space="preserve">Matters + Records row 60</t>
  </si>
  <si>
    <t xml:space="preserve">R102354512</t>
  </si>
  <si>
    <t xml:space="preserve">Matters + Records row 64</t>
  </si>
  <si>
    <t xml:space="preserve">R102354513</t>
  </si>
  <si>
    <t xml:space="preserve">Matters + Records row 65</t>
  </si>
  <si>
    <t xml:space="preserve">R102354515</t>
  </si>
  <si>
    <t xml:space="preserve">Matters + Records row 66</t>
  </si>
  <si>
    <t xml:space="preserve">R102354499</t>
  </si>
  <si>
    <t xml:space="preserve">Box # also listed at Flagged Issues row 145</t>
  </si>
  <si>
    <t xml:space="preserve">Matters + Records row 67</t>
  </si>
  <si>
    <t xml:space="preserve">R102354500</t>
  </si>
  <si>
    <t xml:space="preserve">Matters + Records row 68</t>
  </si>
  <si>
    <t xml:space="preserve">R102282381</t>
  </si>
  <si>
    <t xml:space="preserve">Box # also listed at Flagged Issues row 288</t>
  </si>
  <si>
    <t xml:space="preserve">Matters + Records row 69</t>
  </si>
  <si>
    <t xml:space="preserve">R102354502</t>
  </si>
  <si>
    <t xml:space="preserve">Contains files for other matters as well</t>
  </si>
  <si>
    <t xml:space="preserve">Matters + Records row 70</t>
  </si>
  <si>
    <t xml:space="preserve">R102648133</t>
  </si>
  <si>
    <t xml:space="preserve">Matters + Records row 71</t>
  </si>
  <si>
    <t xml:space="preserve">R101339109</t>
  </si>
  <si>
    <t xml:space="preserve">Matters + Records row 72</t>
  </si>
  <si>
    <t xml:space="preserve">R102648114</t>
  </si>
  <si>
    <t xml:space="preserve">Matters + Records row 73</t>
  </si>
  <si>
    <t xml:space="preserve">R102648115</t>
  </si>
  <si>
    <t xml:space="preserve">Matters + Records row 74</t>
  </si>
  <si>
    <t xml:space="preserve">R102648116</t>
  </si>
  <si>
    <t xml:space="preserve">Matters + Records row 75</t>
  </si>
  <si>
    <t xml:space="preserve">R102648117</t>
  </si>
  <si>
    <t xml:space="preserve">Matters + Records row 76</t>
  </si>
  <si>
    <t xml:space="preserve">R102648118</t>
  </si>
  <si>
    <t xml:space="preserve">Matters + Records row 77</t>
  </si>
  <si>
    <t xml:space="preserve">R102648119</t>
  </si>
  <si>
    <t xml:space="preserve">Matters + Records row 78</t>
  </si>
  <si>
    <t xml:space="preserve">R102648120</t>
  </si>
  <si>
    <t xml:space="preserve">Matters + Records row 79</t>
  </si>
  <si>
    <t xml:space="preserve">R102648121</t>
  </si>
  <si>
    <t xml:space="preserve">Matters + Records row 80</t>
  </si>
  <si>
    <t xml:space="preserve">R102648122</t>
  </si>
  <si>
    <t xml:space="preserve">Matters + Records row 81</t>
  </si>
  <si>
    <t xml:space="preserve">R102648123</t>
  </si>
  <si>
    <t xml:space="preserve">Matters + Records row 82</t>
  </si>
  <si>
    <t xml:space="preserve">R102648124</t>
  </si>
  <si>
    <t xml:space="preserve">Matters + Records row 83</t>
  </si>
  <si>
    <t xml:space="preserve">R102354516</t>
  </si>
  <si>
    <t xml:space="preserve">Matters + Records row 84</t>
  </si>
  <si>
    <t xml:space="preserve">R102354510</t>
  </si>
  <si>
    <t xml:space="preserve">Matters + Records row 85</t>
  </si>
  <si>
    <t xml:space="preserve">R102354514</t>
  </si>
  <si>
    <t xml:space="preserve">Matters + Records row 86</t>
  </si>
  <si>
    <t xml:space="preserve">R102648299</t>
  </si>
  <si>
    <t xml:space="preserve">Box # also listed at Flagged Issues row 172</t>
  </si>
  <si>
    <t xml:space="preserve">Matters + Records row 87</t>
  </si>
  <si>
    <t xml:space="preserve">R101399106</t>
  </si>
  <si>
    <t xml:space="preserve">Matters + Records row 88</t>
  </si>
  <si>
    <t xml:space="preserve">R102648144</t>
  </si>
  <si>
    <t xml:space="preserve">Matters + Records row 89</t>
  </si>
  <si>
    <t xml:space="preserve">R102648143</t>
  </si>
  <si>
    <t xml:space="preserve">Matters + Records row 90</t>
  </si>
  <si>
    <t xml:space="preserve">R102648306</t>
  </si>
  <si>
    <t xml:space="preserve">Box # also listed at Flagged Issues row 160</t>
  </si>
  <si>
    <t xml:space="preserve">Matters + Records row 91</t>
  </si>
  <si>
    <t xml:space="preserve">R102648305</t>
  </si>
  <si>
    <t xml:space="preserve">Box # also listed at Flagged Issues row 162</t>
  </si>
  <si>
    <t xml:space="preserve">Matters + Records row 92</t>
  </si>
  <si>
    <t xml:space="preserve">R102648303</t>
  </si>
  <si>
    <t xml:space="preserve">Box # also listed at Flagged Issues row 168</t>
  </si>
  <si>
    <t xml:space="preserve">Matters + Records row 93</t>
  </si>
  <si>
    <t xml:space="preserve">R102648157</t>
  </si>
  <si>
    <t xml:space="preserve">Box # also listed at Flagged Issues row 165</t>
  </si>
  <si>
    <t xml:space="preserve">Matters + Records row 94</t>
  </si>
  <si>
    <t xml:space="preserve">R102648311</t>
  </si>
  <si>
    <t xml:space="preserve">Matters + Records row 95</t>
  </si>
  <si>
    <t xml:space="preserve">R102648310</t>
  </si>
  <si>
    <t xml:space="preserve">Matters + Records row 96</t>
  </si>
  <si>
    <t xml:space="preserve">Box # also listed at Matters + Records row 42, Flagged Issues row 175</t>
  </si>
  <si>
    <t xml:space="preserve">Matters + Records row 97</t>
  </si>
  <si>
    <t xml:space="preserve">R102354578</t>
  </si>
  <si>
    <t xml:space="preserve">Matters + Records row 98</t>
  </si>
  <si>
    <t xml:space="preserve">R102648292</t>
  </si>
  <si>
    <t xml:space="preserve">Matters + Records row 99</t>
  </si>
  <si>
    <t xml:space="preserve">R102648288</t>
  </si>
  <si>
    <t xml:space="preserve">Matters + Records row 100</t>
  </si>
  <si>
    <t xml:space="preserve">R102648287</t>
  </si>
  <si>
    <t xml:space="preserve">Matters + Records row 101</t>
  </si>
  <si>
    <t xml:space="preserve">R102648286</t>
  </si>
  <si>
    <t xml:space="preserve">Matters + Records row 102</t>
  </si>
  <si>
    <t xml:space="preserve">R102648285</t>
  </si>
  <si>
    <t xml:space="preserve">Matters + Records row 103</t>
  </si>
  <si>
    <t xml:space="preserve">R102648284</t>
  </si>
  <si>
    <t xml:space="preserve">Matters + Records row 104</t>
  </si>
  <si>
    <t xml:space="preserve">R102354638</t>
  </si>
  <si>
    <t xml:space="preserve">Marsha Davis v. AG Seal Beach</t>
  </si>
  <si>
    <t xml:space="preserve">Binders case</t>
  </si>
  <si>
    <t xml:space="preserve">Marsha, Davis</t>
  </si>
  <si>
    <t xml:space="preserve">Needs Matter Assignment</t>
  </si>
  <si>
    <t xml:space="preserve">Flagged Issues row 2</t>
  </si>
  <si>
    <t xml:space="preserve">R102354637</t>
  </si>
  <si>
    <t xml:space="preserve">No Label</t>
  </si>
  <si>
    <t xml:space="preserve">Misc binders, Redwells</t>
  </si>
  <si>
    <t xml:space="preserve">Needs ID</t>
  </si>
  <si>
    <t xml:space="preserve">Flagged Issues row 3</t>
  </si>
  <si>
    <t xml:space="preserve">R102354636</t>
  </si>
  <si>
    <t xml:space="preserve">Flagged Issues row 4</t>
  </si>
  <si>
    <t xml:space="preserve">R102354635</t>
  </si>
  <si>
    <t xml:space="preserve">Arctic/Garrett Blood tossed Goblenberg</t>
  </si>
  <si>
    <t xml:space="preserve">transcripts</t>
  </si>
  <si>
    <t xml:space="preserve">Arctic, Goblenb</t>
  </si>
  <si>
    <t xml:space="preserve">Flagged Issues row 5</t>
  </si>
  <si>
    <t xml:space="preserve">R102354634</t>
  </si>
  <si>
    <t xml:space="preserve">Exhibit Binders</t>
  </si>
  <si>
    <t xml:space="preserve">Flagged Issues row 6</t>
  </si>
  <si>
    <t xml:space="preserve">R102354633</t>
  </si>
  <si>
    <t xml:space="preserve">Exhibits</t>
  </si>
  <si>
    <t xml:space="preserve">Flagged Issues row 7</t>
  </si>
  <si>
    <t xml:space="preserve">R102354632</t>
  </si>
  <si>
    <t xml:space="preserve">Flagged Issues row 8</t>
  </si>
  <si>
    <t xml:space="preserve">R102354631</t>
  </si>
  <si>
    <t xml:space="preserve">Flagged Issues row 9</t>
  </si>
  <si>
    <t xml:space="preserve">R102354630</t>
  </si>
  <si>
    <t xml:space="preserve">Flagged Issues row 10</t>
  </si>
  <si>
    <t xml:space="preserve">R102354629</t>
  </si>
  <si>
    <t xml:space="preserve">Flagged Issues row 11</t>
  </si>
  <si>
    <t xml:space="preserve">R102354628</t>
  </si>
  <si>
    <t xml:space="preserve">Flagged Issues row 12</t>
  </si>
  <si>
    <t xml:space="preserve">R102354627</t>
  </si>
  <si>
    <t xml:space="preserve">Flagged Issues row 13</t>
  </si>
  <si>
    <t xml:space="preserve">R102354626</t>
  </si>
  <si>
    <t xml:space="preserve">delman box #2</t>
  </si>
  <si>
    <t xml:space="preserve">Redwells w/ Docs.</t>
  </si>
  <si>
    <t xml:space="preserve">Delman</t>
  </si>
  <si>
    <t xml:space="preserve">Flagged Issues row 14</t>
  </si>
  <si>
    <t xml:space="preserve">R102354625</t>
  </si>
  <si>
    <t xml:space="preserve">Post it "Davis"</t>
  </si>
  <si>
    <t xml:space="preserve">Misc Docs.</t>
  </si>
  <si>
    <t xml:space="preserve">Davis</t>
  </si>
  <si>
    <t xml:space="preserve">Flagged Issues row 15</t>
  </si>
  <si>
    <t xml:space="preserve">R102354624</t>
  </si>
  <si>
    <t xml:space="preserve">Flagged Issues row 16</t>
  </si>
  <si>
    <t xml:space="preserve">R102354623</t>
  </si>
  <si>
    <t xml:space="preserve">Aleah Box # 11</t>
  </si>
  <si>
    <t xml:space="preserve">Depo Transcripts</t>
  </si>
  <si>
    <t xml:space="preserve">Aleah</t>
  </si>
  <si>
    <t xml:space="preserve">Flagged Issues row 17</t>
  </si>
  <si>
    <t xml:space="preserve">R102354622</t>
  </si>
  <si>
    <t xml:space="preserve">Job # SFB-100105</t>
  </si>
  <si>
    <t xml:space="preserve">Misc Arctic o Docs</t>
  </si>
  <si>
    <t xml:space="preserve">Arctic</t>
  </si>
  <si>
    <t xml:space="preserve">Flagged Issues row 18</t>
  </si>
  <si>
    <t xml:space="preserve">R102354621</t>
  </si>
  <si>
    <t xml:space="preserve">Aleah Box # 5</t>
  </si>
  <si>
    <t xml:space="preserve">Flagged Issues row 19</t>
  </si>
  <si>
    <t xml:space="preserve">R102354620</t>
  </si>
  <si>
    <t xml:space="preserve">Aleah Box # 3</t>
  </si>
  <si>
    <t xml:space="preserve">Flagged Issues row 20</t>
  </si>
  <si>
    <t xml:space="preserve">R102354619</t>
  </si>
  <si>
    <t xml:space="preserve">CD's</t>
  </si>
  <si>
    <t xml:space="preserve">Flagged Issues row 21</t>
  </si>
  <si>
    <t xml:space="preserve">R102354618</t>
  </si>
  <si>
    <t xml:space="preserve">Flagged Issues row 22</t>
  </si>
  <si>
    <t xml:space="preserve">R102354617</t>
  </si>
  <si>
    <t xml:space="preserve">JWH files #2</t>
  </si>
  <si>
    <t xml:space="preserve">Misc</t>
  </si>
  <si>
    <t xml:space="preserve">Flagged Issues row 23</t>
  </si>
  <si>
    <t xml:space="preserve">R102354616</t>
  </si>
  <si>
    <t xml:space="preserve">JWH files #4</t>
  </si>
  <si>
    <t xml:space="preserve">Flagged Issues row 24</t>
  </si>
  <si>
    <t xml:space="preserve">R102354615</t>
  </si>
  <si>
    <t xml:space="preserve">JWH files #1</t>
  </si>
  <si>
    <t xml:space="preserve">Flagged Issues row 25</t>
  </si>
  <si>
    <t xml:space="preserve">R102354614</t>
  </si>
  <si>
    <t xml:space="preserve">JWH files #6</t>
  </si>
  <si>
    <t xml:space="preserve">Flagged Issues row 26</t>
  </si>
  <si>
    <t xml:space="preserve">R10131528</t>
  </si>
  <si>
    <t xml:space="preserve">clinted ID: #4 Roberts American Gourmet food box #2</t>
  </si>
  <si>
    <t xml:space="preserve">Roberts American</t>
  </si>
  <si>
    <t xml:space="preserve">Box # has wrong number of digits</t>
  </si>
  <si>
    <t xml:space="preserve">Flagged Issues row 27</t>
  </si>
  <si>
    <t xml:space="preserve">R101331530</t>
  </si>
  <si>
    <t xml:space="preserve">clinted ID: #4 Roberts American Gourmet food box #4</t>
  </si>
  <si>
    <t xml:space="preserve">Flagged Issues row 28</t>
  </si>
  <si>
    <t xml:space="preserve">R102354613</t>
  </si>
  <si>
    <t xml:space="preserve">Flagged Issues row 29</t>
  </si>
  <si>
    <t xml:space="preserve">R102354612</t>
  </si>
  <si>
    <t xml:space="preserve">Aleah MBB Files box # 5</t>
  </si>
  <si>
    <t xml:space="preserve">Flagged Issues row 30</t>
  </si>
  <si>
    <t xml:space="preserve">R102354611</t>
  </si>
  <si>
    <t xml:space="preserve">Aleah MBB Files box # 1</t>
  </si>
  <si>
    <t xml:space="preserve">Flagged Issues row 31</t>
  </si>
  <si>
    <t xml:space="preserve">R102354610</t>
  </si>
  <si>
    <t xml:space="preserve">Aleah MBB Files box # 4</t>
  </si>
  <si>
    <t xml:space="preserve">Flagged Issues row 32</t>
  </si>
  <si>
    <t xml:space="preserve">R102354609</t>
  </si>
  <si>
    <t xml:space="preserve">Misc binders</t>
  </si>
  <si>
    <t xml:space="preserve">Flagged Issues row 33</t>
  </si>
  <si>
    <t xml:space="preserve">R102354608</t>
  </si>
  <si>
    <t xml:space="preserve">Aleah + pardaman feb-april 2013</t>
  </si>
  <si>
    <t xml:space="preserve">Misc Redwells with Docs</t>
  </si>
  <si>
    <t xml:space="preserve">Flagged Issues row 34</t>
  </si>
  <si>
    <t xml:space="preserve">R102354607</t>
  </si>
  <si>
    <t xml:space="preserve">Marsha V AG box #1</t>
  </si>
  <si>
    <t xml:space="preserve">Client Docs</t>
  </si>
  <si>
    <t xml:space="preserve">Marsha</t>
  </si>
  <si>
    <t xml:space="preserve">Flagged Issues row 35</t>
  </si>
  <si>
    <t xml:space="preserve">R102354606</t>
  </si>
  <si>
    <t xml:space="preserve">Marsha V AG box # 2</t>
  </si>
  <si>
    <t xml:space="preserve">Flagged Issues row 36</t>
  </si>
  <si>
    <t xml:space="preserve">R102354605</t>
  </si>
  <si>
    <t xml:space="preserve">Delamn Box #1</t>
  </si>
  <si>
    <t xml:space="preserve">transcripts + misc</t>
  </si>
  <si>
    <t xml:space="preserve">Delamn</t>
  </si>
  <si>
    <t xml:space="preserve">Flagged Issues row 37</t>
  </si>
  <si>
    <t xml:space="preserve">R102354604</t>
  </si>
  <si>
    <t xml:space="preserve">Roberts American Gorumet Box # 1</t>
  </si>
  <si>
    <t xml:space="preserve">Misc Redwells</t>
  </si>
  <si>
    <t xml:space="preserve">Flagged Issues row 38</t>
  </si>
  <si>
    <t xml:space="preserve">R102354603</t>
  </si>
  <si>
    <t xml:space="preserve">No label</t>
  </si>
  <si>
    <t xml:space="preserve">Roberts American Food docs</t>
  </si>
  <si>
    <t xml:space="preserve">Flagged Issues row 39</t>
  </si>
  <si>
    <t xml:space="preserve">R102354602</t>
  </si>
  <si>
    <t xml:space="preserve">Flagged Issues row 40</t>
  </si>
  <si>
    <t xml:space="preserve">R102354601</t>
  </si>
  <si>
    <t xml:space="preserve">Flagged Issues row 41</t>
  </si>
  <si>
    <t xml:space="preserve">R102354600</t>
  </si>
  <si>
    <t xml:space="preserve">Whitmont box - No label</t>
  </si>
  <si>
    <t xml:space="preserve">Whitmont</t>
  </si>
  <si>
    <t xml:space="preserve">Flagged Issues row 42</t>
  </si>
  <si>
    <t xml:space="preserve">R102354599</t>
  </si>
  <si>
    <t xml:space="preserve">BHB bay city #1 of 2</t>
  </si>
  <si>
    <t xml:space="preserve">Bay City</t>
  </si>
  <si>
    <t xml:space="preserve">Flagged Issues row 43</t>
  </si>
  <si>
    <t xml:space="preserve">R102354598</t>
  </si>
  <si>
    <t xml:space="preserve">Energy Rops</t>
  </si>
  <si>
    <t xml:space="preserve">Rops + Note</t>
  </si>
  <si>
    <t xml:space="preserve">Flagged Issues row 44</t>
  </si>
  <si>
    <t xml:space="preserve">R101331584</t>
  </si>
  <si>
    <t xml:space="preserve">Natural Balance</t>
  </si>
  <si>
    <t xml:space="preserve">Flagged Issues row 45</t>
  </si>
  <si>
    <t xml:space="preserve">R102354597</t>
  </si>
  <si>
    <t xml:space="preserve">Flagged Issues row 46</t>
  </si>
  <si>
    <t xml:space="preserve">R102354596</t>
  </si>
  <si>
    <t xml:space="preserve">Snack Factory Box # 1</t>
  </si>
  <si>
    <t xml:space="preserve">Snack Factory</t>
  </si>
  <si>
    <t xml:space="preserve">Flagged Issues row 47</t>
  </si>
  <si>
    <t xml:space="preserve">R102354595</t>
  </si>
  <si>
    <t xml:space="preserve">Flagged Issues row 48</t>
  </si>
  <si>
    <t xml:space="preserve">R102354594</t>
  </si>
  <si>
    <t xml:space="preserve">Aleah Box # 8</t>
  </si>
  <si>
    <t xml:space="preserve">TSG Transcripts</t>
  </si>
  <si>
    <t xml:space="preserve">Flagged Issues row 49</t>
  </si>
  <si>
    <t xml:space="preserve">R102354593</t>
  </si>
  <si>
    <t xml:space="preserve">Mail received Aug- Nov 2013</t>
  </si>
  <si>
    <t xml:space="preserve">Redwells</t>
  </si>
  <si>
    <t xml:space="preserve">Mail</t>
  </si>
  <si>
    <t xml:space="preserve">Mail box may hold client documents - review before shredding</t>
  </si>
  <si>
    <t xml:space="preserve">Flagged Issues row 50</t>
  </si>
  <si>
    <t xml:space="preserve">R102354592</t>
  </si>
  <si>
    <t xml:space="preserve">To be Indexed- do not move</t>
  </si>
  <si>
    <t xml:space="preserve">Kennedy v Natural Balance</t>
  </si>
  <si>
    <t xml:space="preserve">Natural Balance, Kennedy</t>
  </si>
  <si>
    <t xml:space="preserve">Flagged Issues row 51</t>
  </si>
  <si>
    <t xml:space="preserve">R102354591</t>
  </si>
  <si>
    <t xml:space="preserve">Aleah Box # 4</t>
  </si>
  <si>
    <t xml:space="preserve">Flagged Issues row 52</t>
  </si>
  <si>
    <t xml:space="preserve">R102354590</t>
  </si>
  <si>
    <t xml:space="preserve">Aleah Box # 10</t>
  </si>
  <si>
    <t xml:space="preserve">Flagged Issues row 53</t>
  </si>
  <si>
    <t xml:space="preserve">R102354589</t>
  </si>
  <si>
    <t xml:space="preserve">Exhibit tabs/ Dividers</t>
  </si>
  <si>
    <t xml:space="preserve">Exhibit Tabs/ Dividers</t>
  </si>
  <si>
    <t xml:space="preserve">Supplies</t>
  </si>
  <si>
    <t xml:space="preserve">Flagged Issues row 54</t>
  </si>
  <si>
    <t xml:space="preserve">R102354587</t>
  </si>
  <si>
    <t xml:space="preserve">Aleah Box # 7</t>
  </si>
  <si>
    <t xml:space="preserve">Box # also listed at Flagged Issues row 56</t>
  </si>
  <si>
    <t xml:space="preserve">Flagged Issues row 55</t>
  </si>
  <si>
    <t xml:space="preserve">Roberts American Gorumet Box # 3</t>
  </si>
  <si>
    <t xml:space="preserve">Box # also listed at Flagged Issues row 55</t>
  </si>
  <si>
    <t xml:space="preserve">Flagged Issues row 56</t>
  </si>
  <si>
    <t xml:space="preserve">R102354585</t>
  </si>
  <si>
    <t xml:space="preserve">Hayden v. Wong Binders</t>
  </si>
  <si>
    <t xml:space="preserve">Hayden</t>
  </si>
  <si>
    <t xml:space="preserve">Flagged Issues row 57</t>
  </si>
  <si>
    <t xml:space="preserve">R102354584</t>
  </si>
  <si>
    <t xml:space="preserve">Marsha Binders + CDs</t>
  </si>
  <si>
    <t xml:space="preserve">Flagged Issues row 58</t>
  </si>
  <si>
    <t xml:space="preserve">R102354583</t>
  </si>
  <si>
    <t xml:space="preserve">Client TSG Transcripts</t>
  </si>
  <si>
    <t xml:space="preserve">Flagged Issues row 59</t>
  </si>
  <si>
    <t xml:space="preserve">R102354581</t>
  </si>
  <si>
    <t xml:space="preserve">Acco-BHG under writing</t>
  </si>
  <si>
    <t xml:space="preserve">Flagged Issues row 60</t>
  </si>
  <si>
    <t xml:space="preserve">R102354580</t>
  </si>
  <si>
    <t xml:space="preserve">Dividers 1-39</t>
  </si>
  <si>
    <t xml:space="preserve">Flagged Issues row 61</t>
  </si>
  <si>
    <t xml:space="preserve">R102354579</t>
  </si>
  <si>
    <t xml:space="preserve">BHG under writing - Fisher</t>
  </si>
  <si>
    <t xml:space="preserve">Docs</t>
  </si>
  <si>
    <t xml:space="preserve">Flagged Issues row 62</t>
  </si>
  <si>
    <t xml:space="preserve">R102354577</t>
  </si>
  <si>
    <t xml:space="preserve">Flagged Issues row 63</t>
  </si>
  <si>
    <t xml:space="preserve">R102354576</t>
  </si>
  <si>
    <t xml:space="preserve">Aleah Box # 2</t>
  </si>
  <si>
    <t xml:space="preserve">Flagged Issues row 64</t>
  </si>
  <si>
    <t xml:space="preserve">R102354575</t>
  </si>
  <si>
    <t xml:space="preserve">Paron, Mauze, Asylum, Pham</t>
  </si>
  <si>
    <t xml:space="preserve">Paron</t>
  </si>
  <si>
    <t xml:space="preserve">Flagged Issues row 65</t>
  </si>
  <si>
    <t xml:space="preserve">R102354574</t>
  </si>
  <si>
    <t xml:space="preserve">wortlers comp. cases RAIPG (cant read last part) box 1 of 1</t>
  </si>
  <si>
    <t xml:space="preserve">Flagged Issues row 66</t>
  </si>
  <si>
    <t xml:space="preserve">R102354573</t>
  </si>
  <si>
    <t xml:space="preserve">Wortlers comp. cases box 1 of 2</t>
  </si>
  <si>
    <t xml:space="preserve">Flagged Issues row 67</t>
  </si>
  <si>
    <t xml:space="preserve">R102354572</t>
  </si>
  <si>
    <t xml:space="preserve">Wortlers Comp. cases box 2 of 2</t>
  </si>
  <si>
    <t xml:space="preserve">Flagged Issues row 68</t>
  </si>
  <si>
    <t xml:space="preserve">R102354571</t>
  </si>
  <si>
    <t xml:space="preserve">RAGF</t>
  </si>
  <si>
    <t xml:space="preserve">Flagged Issues row 69</t>
  </si>
  <si>
    <t xml:space="preserve">R102354570</t>
  </si>
  <si>
    <t xml:space="preserve">Client B + Mis D</t>
  </si>
  <si>
    <t xml:space="preserve">Flagged Issues row 70</t>
  </si>
  <si>
    <t xml:space="preserve">R102354569</t>
  </si>
  <si>
    <t xml:space="preserve">"Tagged" Client Docs</t>
  </si>
  <si>
    <t xml:space="preserve">Tagged</t>
  </si>
  <si>
    <t xml:space="preserve">Flagged Issues row 71</t>
  </si>
  <si>
    <t xml:space="preserve">R102354568</t>
  </si>
  <si>
    <t xml:space="preserve">Chiem Box # 1 CID : 10070</t>
  </si>
  <si>
    <t xml:space="preserve">Chiem</t>
  </si>
  <si>
    <t xml:space="preserve">Flagged Issues row 72</t>
  </si>
  <si>
    <t xml:space="preserve">R102354567</t>
  </si>
  <si>
    <t xml:space="preserve">Misc Box # 1</t>
  </si>
  <si>
    <t xml:space="preserve">Flagged Issues row 73</t>
  </si>
  <si>
    <t xml:space="preserve">R102354566</t>
  </si>
  <si>
    <t xml:space="preserve">Box # also listed at Flagged Issues row 76</t>
  </si>
  <si>
    <t xml:space="preserve">Flagged Issues row 74</t>
  </si>
  <si>
    <t xml:space="preserve">R102354565</t>
  </si>
  <si>
    <t xml:space="preserve">49502.011 Box 2 of 2 Closed files</t>
  </si>
  <si>
    <t xml:space="preserve">Flagged Issues row 75</t>
  </si>
  <si>
    <t xml:space="preserve">Harrassment traing Logs</t>
  </si>
  <si>
    <t xml:space="preserve">Box # also listed at Flagged Issues row 74</t>
  </si>
  <si>
    <t xml:space="preserve">Flagged Issues row 76</t>
  </si>
  <si>
    <t xml:space="preserve">R102354563</t>
  </si>
  <si>
    <t xml:space="preserve">Paren CID : 10023, CD Box #1</t>
  </si>
  <si>
    <t xml:space="preserve">Paren</t>
  </si>
  <si>
    <t xml:space="preserve">Flagged Issues row 77</t>
  </si>
  <si>
    <t xml:space="preserve">R102354562</t>
  </si>
  <si>
    <t xml:space="preserve">Misc.</t>
  </si>
  <si>
    <t xml:space="preserve">Flagged Issues row 78</t>
  </si>
  <si>
    <t xml:space="preserve">R102354561</t>
  </si>
  <si>
    <t xml:space="preserve">Aleah Emails</t>
  </si>
  <si>
    <t xml:space="preserve">Flagged Issues row 79</t>
  </si>
  <si>
    <t xml:space="preserve">R102354560</t>
  </si>
  <si>
    <t xml:space="preserve">Cypress V. Red Oak</t>
  </si>
  <si>
    <t xml:space="preserve">Cypress</t>
  </si>
  <si>
    <t xml:space="preserve">Flagged Issues row 80</t>
  </si>
  <si>
    <t xml:space="preserve">R102354559</t>
  </si>
  <si>
    <t xml:space="preserve">Country villa folders</t>
  </si>
  <si>
    <t xml:space="preserve">Country villa</t>
  </si>
  <si>
    <t xml:space="preserve">Flagged Issues row 81</t>
  </si>
  <si>
    <t xml:space="preserve">R102354558</t>
  </si>
  <si>
    <t xml:space="preserve">misc</t>
  </si>
  <si>
    <t xml:space="preserve">Flagged Issues row 82</t>
  </si>
  <si>
    <t xml:space="preserve">R102354557</t>
  </si>
  <si>
    <t xml:space="preserve">misc clinet docs, James Bradford, beech-nut v. fruir(?), law found, David Marchand Binder + CDs</t>
  </si>
  <si>
    <t xml:space="preserve">Beech</t>
  </si>
  <si>
    <t xml:space="preserve">Flagged Issues row 83</t>
  </si>
  <si>
    <t xml:space="preserve">R102354556</t>
  </si>
  <si>
    <t xml:space="preserve">Aleah Jan 12-oot</t>
  </si>
  <si>
    <t xml:space="preserve">client docs, corres. Enga.ltn</t>
  </si>
  <si>
    <t xml:space="preserve">Flagged Issues row 84</t>
  </si>
  <si>
    <t xml:space="preserve">R102354555</t>
  </si>
  <si>
    <t xml:space="preserve">Actic O, Arguedas, Butler Uines, Cheim, dejosos, dehman, Aug12-feb 13</t>
  </si>
  <si>
    <t xml:space="preserve">clines docs + corres.</t>
  </si>
  <si>
    <t xml:space="preserve">Actic, Cheim</t>
  </si>
  <si>
    <t xml:space="preserve">Flagged Issues row 85</t>
  </si>
  <si>
    <t xml:space="preserve">R102354554</t>
  </si>
  <si>
    <t xml:space="preserve">Flagged Issues row 86</t>
  </si>
  <si>
    <t xml:space="preserve">R102354553</t>
  </si>
  <si>
    <t xml:space="preserve">Misc + B&amp;G misc, Petroff exit</t>
  </si>
  <si>
    <t xml:space="preserve">B&amp;G, Petroff</t>
  </si>
  <si>
    <t xml:space="preserve">Flagged Issues row 87</t>
  </si>
  <si>
    <t xml:space="preserve">R102354552</t>
  </si>
  <si>
    <t xml:space="preserve">Marsha Binder- P's ex, Aleah Binder- D's Discovery Res.</t>
  </si>
  <si>
    <t xml:space="preserve">Aleah, Marsha</t>
  </si>
  <si>
    <t xml:space="preserve">Flagged Issues row 88</t>
  </si>
  <si>
    <t xml:space="preserve">R102354551</t>
  </si>
  <si>
    <t xml:space="preserve">No Label files keeper box</t>
  </si>
  <si>
    <t xml:space="preserve">Flagged Issues row 89</t>
  </si>
  <si>
    <t xml:space="preserve">R102354550</t>
  </si>
  <si>
    <t xml:space="preserve">"Yellow Slash Jackets"</t>
  </si>
  <si>
    <t xml:space="preserve">Marsha Davis + Few others that Follow, James Davis, Diff facility lawsuit, out of order- DP123, Invoice service logs, August 1940 docs</t>
  </si>
  <si>
    <t xml:space="preserve">Flagged Issues row 90</t>
  </si>
  <si>
    <t xml:space="preserve">R102354549</t>
  </si>
  <si>
    <t xml:space="preserve">Flagged Issues row 91</t>
  </si>
  <si>
    <t xml:space="preserve">R102354548</t>
  </si>
  <si>
    <t xml:space="preserve">Flagged Issues row 92</t>
  </si>
  <si>
    <t xml:space="preserve">R102354547</t>
  </si>
  <si>
    <t xml:space="preserve">misc + Aleah B- case localities, + Aleah B- Hearing Transcripts, Aleah Orders Binder, Aleah Hearing Transcript</t>
  </si>
  <si>
    <t xml:space="preserve">Flagged Issues row 93</t>
  </si>
  <si>
    <t xml:space="preserve">R102354546</t>
  </si>
  <si>
    <t xml:space="preserve">Flagged Issues row 94</t>
  </si>
  <si>
    <t xml:space="preserve">R102354545</t>
  </si>
  <si>
    <t xml:space="preserve">Client ID: 10044, USC Bay City box #</t>
  </si>
  <si>
    <t xml:space="preserve">Loss Rons, co.corres., BC Mechical, 9/30/06 proposal + misc docs</t>
  </si>
  <si>
    <t xml:space="preserve">Flagged Issues row 95</t>
  </si>
  <si>
    <t xml:space="preserve">R102354544</t>
  </si>
  <si>
    <t xml:space="preserve">No Label files keepers</t>
  </si>
  <si>
    <t xml:space="preserve">Misc + Misc CD's (leafs(?) feathers, energy team, domingues, natbal, derran) Marsha Cynga</t>
  </si>
  <si>
    <t xml:space="preserve">Marsha, Energy team</t>
  </si>
  <si>
    <t xml:space="preserve">Flagged Issues row 96</t>
  </si>
  <si>
    <t xml:space="preserve">R102354543</t>
  </si>
  <si>
    <t xml:space="preserve">JNH + MISB desk files, Arctic Zero CID: 10065 Box # 1</t>
  </si>
  <si>
    <t xml:space="preserve">Test Results Binder, doc binder for 10-05-12 meeting, misc docs + Aleah, Binder - P's Discovery responses</t>
  </si>
  <si>
    <t xml:space="preserve">Aleah, Arctic</t>
  </si>
  <si>
    <t xml:space="preserve">Flagged Issues row 97</t>
  </si>
  <si>
    <t xml:space="preserve">R102354542</t>
  </si>
  <si>
    <t xml:space="preserve">"Aleah Timesheets?"</t>
  </si>
  <si>
    <t xml:space="preserve">24 hour reponts + D's Discovery res. Binder 2 of 2</t>
  </si>
  <si>
    <t xml:space="preserve">Firm Admin</t>
  </si>
  <si>
    <t xml:space="preserve">Flagged Issues row 98</t>
  </si>
  <si>
    <t xml:space="preserve">R102354541</t>
  </si>
  <si>
    <t xml:space="preserve">Marl Ree. Spring Isom 2014</t>
  </si>
  <si>
    <t xml:space="preserve">Mail Docs</t>
  </si>
  <si>
    <t xml:space="preserve">Flagged Issues row 99</t>
  </si>
  <si>
    <t xml:space="preserve">R102354540</t>
  </si>
  <si>
    <t xml:space="preserve">Flagged Issues row 100</t>
  </si>
  <si>
    <t xml:space="preserve">R102354539</t>
  </si>
  <si>
    <t xml:space="preserve">Poptatoe Flyers- 2010 POS - New Flyers pakg- creative request- pirates booty docs</t>
  </si>
  <si>
    <t xml:space="preserve">Pirate</t>
  </si>
  <si>
    <t xml:space="preserve">Flagged Issues row 101</t>
  </si>
  <si>
    <t xml:space="preserve">R102354538</t>
  </si>
  <si>
    <t xml:space="preserve">Pirates Booty - RAGf Binder + misc, Binders- Envir. Law found (x2) vs. Beech-Nut, Aleah, D's Motion &amp; P's opp. (x2)</t>
  </si>
  <si>
    <t xml:space="preserve">Aleah, Pirate, Beech</t>
  </si>
  <si>
    <t xml:space="preserve">Mixed - Multiple Matters</t>
  </si>
  <si>
    <t xml:space="preserve">Flagged Issues row 102</t>
  </si>
  <si>
    <t xml:space="preserve">R102354537</t>
  </si>
  <si>
    <t xml:space="preserve">JNH files Box # 3</t>
  </si>
  <si>
    <t xml:space="preserve">Pepperidge farms &amp; Baptista Bakery prod. + misc.</t>
  </si>
  <si>
    <t xml:space="preserve">Flagged Issues row 103</t>
  </si>
  <si>
    <t xml:space="preserve">R102354533</t>
  </si>
  <si>
    <t xml:space="preserve">Client ID: 4RAGf Box # 4</t>
  </si>
  <si>
    <t xml:space="preserve">Misc Client Docs</t>
  </si>
  <si>
    <t xml:space="preserve">Flagged Issues row 104</t>
  </si>
  <si>
    <t xml:space="preserve">R102354532</t>
  </si>
  <si>
    <t xml:space="preserve">Winchester Arb. Binders + docs</t>
  </si>
  <si>
    <t xml:space="preserve">Winchester</t>
  </si>
  <si>
    <t xml:space="preserve">Flagged Issues row 105</t>
  </si>
  <si>
    <t xml:space="preserve">R102354531</t>
  </si>
  <si>
    <t xml:space="preserve">"Binders"</t>
  </si>
  <si>
    <t xml:space="preserve">Media Binders, cd pases, dominguez, corresponding binder</t>
  </si>
  <si>
    <t xml:space="preserve">Dominguez</t>
  </si>
  <si>
    <t xml:space="preserve">Flagged Issues row 106</t>
  </si>
  <si>
    <t xml:space="preserve">R102153874</t>
  </si>
  <si>
    <t xml:space="preserve">Redwells Files</t>
  </si>
  <si>
    <t xml:space="preserve">Misc Client Notebooks</t>
  </si>
  <si>
    <t xml:space="preserve">Box # also listed at Flagged Issues row 234</t>
  </si>
  <si>
    <t xml:space="preserve">Flagged Issues row 107</t>
  </si>
  <si>
    <t xml:space="preserve">R102153866</t>
  </si>
  <si>
    <t xml:space="preserve">Ashbony &amp; Babyganics</t>
  </si>
  <si>
    <t xml:space="preserve">Misc Files</t>
  </si>
  <si>
    <t xml:space="preserve">Babyganics</t>
  </si>
  <si>
    <t xml:space="preserve">Box # also listed at Flagged Issues row 238</t>
  </si>
  <si>
    <t xml:space="preserve">Flagged Issues row 108</t>
  </si>
  <si>
    <t xml:space="preserve">R102354477</t>
  </si>
  <si>
    <t xml:space="preserve">Client Binders</t>
  </si>
  <si>
    <t xml:space="preserve">Dominguez: Motion for Judgement, Tagged V. Goblenberg: Motion to Dismiss comp Motion to compel RfAS &amp; frogs, sequel naturals they documents</t>
  </si>
  <si>
    <t xml:space="preserve">Sequel, Dominguez, Goblenb, Tagged</t>
  </si>
  <si>
    <t xml:space="preserve">Flagged Issues row 109</t>
  </si>
  <si>
    <t xml:space="preserve">R102354588</t>
  </si>
  <si>
    <t xml:space="preserve">Dicchi/Priest Docs wfc</t>
  </si>
  <si>
    <t xml:space="preserve">client + misc docs</t>
  </si>
  <si>
    <t xml:space="preserve">Priest, Dicchi</t>
  </si>
  <si>
    <t xml:space="preserve">Flagged Issues row 110</t>
  </si>
  <si>
    <t xml:space="preserve">R102354536</t>
  </si>
  <si>
    <t xml:space="preserve">INS - Burning Limits + course &amp; scoop</t>
  </si>
  <si>
    <t xml:space="preserve">INS- corp + scope, cm &amp; R- Burning Limits, claim related acts- civil rights</t>
  </si>
  <si>
    <t xml:space="preserve">Flagged Issues row 111</t>
  </si>
  <si>
    <t xml:space="preserve">R102354535</t>
  </si>
  <si>
    <t xml:space="preserve">INS - D&amp;O - Duty to defend</t>
  </si>
  <si>
    <t xml:space="preserve">Duty to Defend filed docs</t>
  </si>
  <si>
    <t xml:space="preserve">Flagged Issues row 112</t>
  </si>
  <si>
    <t xml:space="preserve">R102354534</t>
  </si>
  <si>
    <t xml:space="preserve">INS-INT'L AETS-S33-SITC</t>
  </si>
  <si>
    <t xml:space="preserve">Filed INT'L Acts Docs</t>
  </si>
  <si>
    <t xml:space="preserve">Flagged Issues row 113</t>
  </si>
  <si>
    <t xml:space="preserve">R102354518</t>
  </si>
  <si>
    <t xml:space="preserve">Client Files July 18th</t>
  </si>
  <si>
    <t xml:space="preserve">Misc.-Dooly, Sam Decl. Exhibits, Sam Rainsy</t>
  </si>
  <si>
    <t xml:space="preserve">Rainsy</t>
  </si>
  <si>
    <t xml:space="preserve">Flagged Issues row 114</t>
  </si>
  <si>
    <t xml:space="preserve">R102354471</t>
  </si>
  <si>
    <t xml:space="preserve">Marsha Davis</t>
  </si>
  <si>
    <t xml:space="preserve">Medical Files</t>
  </si>
  <si>
    <t xml:space="preserve">Flagged Issues row 115</t>
  </si>
  <si>
    <t xml:space="preserve">R102354470</t>
  </si>
  <si>
    <t xml:space="preserve">Aleah- nov. 2012- Jan 2013</t>
  </si>
  <si>
    <t xml:space="preserve">Client Docs &amp; corresponding ADPH surveys</t>
  </si>
  <si>
    <t xml:space="preserve">Flagged Issues row 116</t>
  </si>
  <si>
    <t xml:space="preserve">R101331583</t>
  </si>
  <si>
    <t xml:space="preserve">BraunHagey fye 12/31/11 &amp; 12/31/12</t>
  </si>
  <si>
    <t xml:space="preserve">fye docs 2011 &amp; 2012</t>
  </si>
  <si>
    <t xml:space="preserve">Flagged Issues row 117</t>
  </si>
  <si>
    <t xml:space="preserve">R102354469</t>
  </si>
  <si>
    <t xml:space="preserve">BraunHagey fye 12/31/13</t>
  </si>
  <si>
    <t xml:space="preserve">fye docs 2013</t>
  </si>
  <si>
    <t xml:space="preserve">Flagged Issues row 118</t>
  </si>
  <si>
    <t xml:space="preserve">R102354468</t>
  </si>
  <si>
    <t xml:space="preserve">Aleah + RGAF Docs</t>
  </si>
  <si>
    <t xml:space="preserve">Binders : Aleah : Motions 1 &amp; 2</t>
  </si>
  <si>
    <t xml:space="preserve">Flagged Issues row 119</t>
  </si>
  <si>
    <t xml:space="preserve">R102354467</t>
  </si>
  <si>
    <t xml:space="preserve">Chart Type Sheets</t>
  </si>
  <si>
    <t xml:space="preserve">Flagged Issues row 120</t>
  </si>
  <si>
    <t xml:space="preserve">R102354466</t>
  </si>
  <si>
    <t xml:space="preserve">PointRight Docs</t>
  </si>
  <si>
    <t xml:space="preserve">PointRight Analytic Insight Docs</t>
  </si>
  <si>
    <t xml:space="preserve">PointRight</t>
  </si>
  <si>
    <t xml:space="preserve">Flagged Issues row 121</t>
  </si>
  <si>
    <t xml:space="preserve">R102354465</t>
  </si>
  <si>
    <t xml:space="preserve">Manor Care</t>
  </si>
  <si>
    <t xml:space="preserve">Manor Care Docs</t>
  </si>
  <si>
    <t xml:space="preserve">Flagged Issues row 122</t>
  </si>
  <si>
    <t xml:space="preserve">R102354464</t>
  </si>
  <si>
    <t xml:space="preserve">Misc Email Prints OOTS</t>
  </si>
  <si>
    <t xml:space="preserve">Flagged Issues row 123</t>
  </si>
  <si>
    <t xml:space="preserve">R102354463</t>
  </si>
  <si>
    <t xml:space="preserve">Aleah MBB Docs Box # 3</t>
  </si>
  <si>
    <t xml:space="preserve">Exhibits + Misc Docs</t>
  </si>
  <si>
    <t xml:space="preserve">Flagged Issues row 124</t>
  </si>
  <si>
    <t xml:space="preserve">R102354462</t>
  </si>
  <si>
    <t xml:space="preserve">Aleah MBB Docs Box # 6</t>
  </si>
  <si>
    <t xml:space="preserve">Depo, Motion to Compel</t>
  </si>
  <si>
    <t xml:space="preserve">Flagged Issues row 125</t>
  </si>
  <si>
    <t xml:space="preserve">R102354461</t>
  </si>
  <si>
    <t xml:space="preserve">Small Fedex Boxes</t>
  </si>
  <si>
    <t xml:space="preserve">Misc Crossed Out Lists, Executive Emails</t>
  </si>
  <si>
    <t xml:space="preserve">Flagged Issues row 126</t>
  </si>
  <si>
    <t xml:space="preserve">R102354459</t>
  </si>
  <si>
    <t xml:space="preserve">Aleah Jan 2013 - Feb 2013</t>
  </si>
  <si>
    <t xml:space="preserve">Client Docs + Corres.</t>
  </si>
  <si>
    <t xml:space="preserve">Flagged Issues row 127</t>
  </si>
  <si>
    <t xml:space="preserve">R102354458</t>
  </si>
  <si>
    <t xml:space="preserve">Aleah MBB Box # 2</t>
  </si>
  <si>
    <t xml:space="preserve">Binders: Exhibits to Motion, Opp. To Motion, Motion to Compel</t>
  </si>
  <si>
    <t xml:space="preserve">Flagged Issues row 128</t>
  </si>
  <si>
    <t xml:space="preserve">R102354457</t>
  </si>
  <si>
    <t xml:space="preserve">Aleah Box # 12</t>
  </si>
  <si>
    <t xml:space="preserve">Transcripts Medical Docs</t>
  </si>
  <si>
    <t xml:space="preserve">Flagged Issues row 129</t>
  </si>
  <si>
    <t xml:space="preserve">R102354456</t>
  </si>
  <si>
    <t xml:space="preserve">GB Hawk</t>
  </si>
  <si>
    <t xml:space="preserve">P's 1st Doc. Prod., floor Doc. Prod, P's initial disclosure, Rhodia Notebook</t>
  </si>
  <si>
    <t xml:space="preserve">Flagged Issues row 130</t>
  </si>
  <si>
    <t xml:space="preserve">R102354517</t>
  </si>
  <si>
    <t xml:space="preserve">Hannah's Files July 2018</t>
  </si>
  <si>
    <t xml:space="preserve">Flagged Issues row 136</t>
  </si>
  <si>
    <t xml:space="preserve">R102354506</t>
  </si>
  <si>
    <t xml:space="preserve">Box # 1</t>
  </si>
  <si>
    <t xml:space="preserve">Amie Stanly, Garrison, onion binders + misc</t>
  </si>
  <si>
    <t xml:space="preserve">Flagged Issues row 137</t>
  </si>
  <si>
    <t xml:space="preserve">R102354507</t>
  </si>
  <si>
    <t xml:space="preserve">Box # 2</t>
  </si>
  <si>
    <t xml:space="preserve">Rainsy, Amie, onion binders</t>
  </si>
  <si>
    <t xml:space="preserve">Flagged Issues row 138</t>
  </si>
  <si>
    <t xml:space="preserve">R102354508</t>
  </si>
  <si>
    <t xml:space="preserve">Box # 3</t>
  </si>
  <si>
    <t xml:space="preserve">Misc Docs</t>
  </si>
  <si>
    <t xml:space="preserve">Flagged Issues row 139</t>
  </si>
  <si>
    <t xml:space="preserve">R102354509</t>
  </si>
  <si>
    <t xml:space="preserve">Box # 4</t>
  </si>
  <si>
    <t xml:space="preserve">Flagged Issues row 140</t>
  </si>
  <si>
    <t xml:space="preserve">R102354505</t>
  </si>
  <si>
    <t xml:space="preserve">Box # 5</t>
  </si>
  <si>
    <t xml:space="preserve">Rosenblood Exhibit transcripts</t>
  </si>
  <si>
    <t xml:space="preserve">Rosenblood</t>
  </si>
  <si>
    <t xml:space="preserve">Flagged Issues row 141</t>
  </si>
  <si>
    <t xml:space="preserve">R102354504</t>
  </si>
  <si>
    <t xml:space="preserve">Flagged Issues row 142</t>
  </si>
  <si>
    <t xml:space="preserve">R102354503</t>
  </si>
  <si>
    <t xml:space="preserve">09-20-2016 RBC-misc</t>
  </si>
  <si>
    <t xml:space="preserve">Flagged Issues row 143</t>
  </si>
  <si>
    <t xml:space="preserve">R102354501</t>
  </si>
  <si>
    <t xml:space="preserve">Flagged Issues row 144</t>
  </si>
  <si>
    <t xml:space="preserve">Hard Copy Files for Outdoorsy</t>
  </si>
  <si>
    <t xml:space="preserve">Stock Certificates, Purchase agreements, stock plans</t>
  </si>
  <si>
    <t xml:space="preserve">Outdoorsy</t>
  </si>
  <si>
    <t xml:space="preserve">Box # also listed at Matters + Records row 67; May contain originals - return to client, do not shred</t>
  </si>
  <si>
    <t xml:space="preserve">Flagged Issues row 145</t>
  </si>
  <si>
    <t xml:space="preserve">R102648152</t>
  </si>
  <si>
    <t xml:space="preserve">V. Tong Files</t>
  </si>
  <si>
    <t xml:space="preserve">Misc. Files from VT Office</t>
  </si>
  <si>
    <t xml:space="preserve">Flagged Issues row 146</t>
  </si>
  <si>
    <t xml:space="preserve">R102648313</t>
  </si>
  <si>
    <t xml:space="preserve">MBB Office - Patterson Depo Redwells</t>
  </si>
  <si>
    <t xml:space="preserve">Gary Patterson Depo - Exhibits (x3 folders)</t>
  </si>
  <si>
    <t xml:space="preserve">Patterson</t>
  </si>
  <si>
    <t xml:space="preserve">Flagged Issues row 147</t>
  </si>
  <si>
    <t xml:space="preserve">R102648153</t>
  </si>
  <si>
    <t xml:space="preserve">K.Findley - JNH Files -</t>
  </si>
  <si>
    <t xml:space="preserve">Keri Findley Files</t>
  </si>
  <si>
    <t xml:space="preserve">Flagged Issues row 148</t>
  </si>
  <si>
    <t xml:space="preserve">R102648154</t>
  </si>
  <si>
    <t xml:space="preserve">2016 Legal Mail</t>
  </si>
  <si>
    <t xml:space="preserve">2016 Legal Mail - (A-B, BA-D,E-M)</t>
  </si>
  <si>
    <t xml:space="preserve">Box # also listed at Flagged Issues row 167; Mail box may hold client documents - review before shredding</t>
  </si>
  <si>
    <t xml:space="preserve">Flagged Issues row 149</t>
  </si>
  <si>
    <t xml:space="preserve">R102648155</t>
  </si>
  <si>
    <t xml:space="preserve">AA Binders - G. Single</t>
  </si>
  <si>
    <t xml:space="preserve">1.Cases Cited in Def's MTQ Subpoenas to HUD &amp; CLA and MTC Responses to FROGS Binder - Single, Gloria vs. Congregational Retirment Community 2. Defendant's Motion to Quash Subpoenas to HUD &amp;CLA Hearing Binders; Defendant's Motion to Compel Intital &amp; Further Responses to FROGS Hearing Binder 3. Defendant's Motion to Dismiss First Amended Complaint Binder - Anderson v. Mark Ghaly 4.Cases Sided in re Defendant's MTD FAC Binder - Anderson v. Mark Ghaly. 5. Gloria Single v. Congregational Ex Parte Application to Continue Summary Judgement Hearing Binde r</t>
  </si>
  <si>
    <t xml:space="preserve">Single</t>
  </si>
  <si>
    <t xml:space="preserve">Flagged Issues row 150</t>
  </si>
  <si>
    <t xml:space="preserve">Misc Client Docs From Front Desk</t>
  </si>
  <si>
    <t xml:space="preserve">Front Desk files- Stone Social Media - Stone; Front Desk Files- Orion Exhibits - Orion; Front Desk Files- Stone Ex. Depo - Stone; Returned to shipper on via Fedex International; Returned to shipper on via Fedex International; Returned to shipper on via Fedex International</t>
  </si>
  <si>
    <t xml:space="preserve">Orion, Stone</t>
  </si>
  <si>
    <t xml:space="preserve">Box # also listed at Matters + Records row 43</t>
  </si>
  <si>
    <t xml:space="preserve">Flagged Issues row 154</t>
  </si>
  <si>
    <t xml:space="preserve">JNH 4/26/2019 - Misc. Documents: Dravis, SkinnyPop, B&amp;G Foods</t>
  </si>
  <si>
    <t xml:space="preserve">1 Box:
- Dravis Telling Points 
- Horton/B&amp;G/Cream of Wheat
- SkinnyPop Trademark Services</t>
  </si>
  <si>
    <t xml:space="preserve">B&amp;G, SkinnyPop, Skinnypop</t>
  </si>
  <si>
    <t xml:space="preserve">Box # also listed at Matters + Records row 91</t>
  </si>
  <si>
    <t xml:space="preserve">Flagged Issues row 160</t>
  </si>
  <si>
    <t xml:space="preserve">R102648307</t>
  </si>
  <si>
    <t xml:space="preserve">"Corporate Files" - Krisha's Desk Files</t>
  </si>
  <si>
    <t xml:space="preserve">1 Box:
- Misc docs from Steeped/Special Tea, M&amp; C Organics, and Homerun Inc.</t>
  </si>
  <si>
    <t xml:space="preserve">Steeped</t>
  </si>
  <si>
    <t xml:space="preserve">Flagged Issues row 161</t>
  </si>
  <si>
    <t xml:space="preserve">Toby's Files - DGL, B&amp;G, Daily Harvest</t>
  </si>
  <si>
    <t xml:space="preserve">1 Box:
- B&amp;G Redwell 
- Daily Harvest Spiral Book
- DGL Settlement Agreement &amp; Several Transcripts</t>
  </si>
  <si>
    <t xml:space="preserve">B&amp;G, Daily Harvest</t>
  </si>
  <si>
    <t xml:space="preserve">Box # also listed at Matters + Records row 92</t>
  </si>
  <si>
    <t xml:space="preserve">Flagged Issues row 162</t>
  </si>
  <si>
    <t xml:space="preserve">R102648312</t>
  </si>
  <si>
    <t xml:space="preserve">Admin Mail</t>
  </si>
  <si>
    <t xml:space="preserve">1 Box: 
- Admin Mail 12/13/2018 - 12/23/2019</t>
  </si>
  <si>
    <t xml:space="preserve">Flagged Issues row 163</t>
  </si>
  <si>
    <t xml:space="preserve">R102648158</t>
  </si>
  <si>
    <t xml:space="preserve">Elliot Mail 2019</t>
  </si>
  <si>
    <t xml:space="preserve">Energy Future Holding Mail from 2018-2019</t>
  </si>
  <si>
    <t xml:space="preserve">Elliot, Energy Future</t>
  </si>
  <si>
    <t xml:space="preserve">Flagged Issues row 164</t>
  </si>
  <si>
    <t xml:space="preserve">AH - Client Docs Box #1</t>
  </si>
  <si>
    <t xml:space="preserve">1 Box
Research Reports:
-Revive, Natures Bakery, Oat Mega, Skinny: Pt 1 &amp; 2
Redwells:
-New Nutrition Facts Panels 
-Humane Corp Docs
-Pofential Clients</t>
  </si>
  <si>
    <t xml:space="preserve">Natures Bakery</t>
  </si>
  <si>
    <t xml:space="preserve">Box # also listed at Matters + Records row 94</t>
  </si>
  <si>
    <t xml:space="preserve">Flagged Issues row 165</t>
  </si>
  <si>
    <t xml:space="preserve">R102648159</t>
  </si>
  <si>
    <t xml:space="preserve">AH - Client Docs Box #2</t>
  </si>
  <si>
    <t xml:space="preserve">1 Box 
Folders: 
-JGF Conversation
-JGF Employment Argument 
-BAV Renewal Milk Doc
-Fresh from Farm to Family OUAF
-DDG: Morning greens
Misc. Client Redwells
Pea Protein Binder (Amplify)
Nurtur Me Corp. Redwell</t>
  </si>
  <si>
    <t xml:space="preserve">OUAF, Amplify</t>
  </si>
  <si>
    <t xml:space="preserve">Flagged Issues row 166</t>
  </si>
  <si>
    <t xml:space="preserve">Legal Mail - 2018/2019</t>
  </si>
  <si>
    <t xml:space="preserve">9/28/2018 - 12/3/2018</t>
  </si>
  <si>
    <t xml:space="preserve">Box # also listed at Flagged Issues row 149; Mail box may hold client documents - review before shredding</t>
  </si>
  <si>
    <t xml:space="preserve">Flagged Issues row 167</t>
  </si>
  <si>
    <t xml:space="preserve">R102648309</t>
  </si>
  <si>
    <t xml:space="preserve">Noah's Files - Elliot (1 box), Small, Nulo, Nature's Bakery (1 box)</t>
  </si>
  <si>
    <t xml:space="preserve">Box #1: ELLIOT
- Redwelds -- Disclosure Statement, Law 360 Articles re. Proceedings, Other Dispute Cases, Elliot Misc: Cases, Motion to Reconsider: Order Approving Next Era Termination Fee
- Manila Folders -- Professional Fees, Deadlines &amp; Hearings Fee Committee re. Final Fee Applications, Misc. Notebook, Godfrey &amp; Kahn Memo re. Fee Committee Process, Conflict Research, Fee Committee Plan, Certification of Counsel re. Motion to Appoint, Elliot Motion, Final T-Side Fees Awards, Busy Beaver, Carroll, Kravitz: Cross Exam, Legal Pad: Floor, FV-VCC Selection, Research: re. Conflicts (x2), Transcripts
Box #3: NULO / NATURE'S BAKERY / SMALL V. KELLET
Small v. Kellet 
- Misc. Loose Docs, Legal Pad Notes, Estate Dispute
- Misc. Copies/Case Folders, Overview, KCM Legal
NULO
- ABC7, Backup, Misc. Manila Folders (x3)
NATURE'S BAKERY
- NB Dispute Folders (x2)
- NB Misc.</t>
  </si>
  <si>
    <t xml:space="preserve">Artic, Nature's Bakery, Elliot, Nulo</t>
  </si>
  <si>
    <t xml:space="preserve">Split from multi-box cell 'Elliot Box (1) - R102648309  / Box (3) - R102648303'</t>
  </si>
  <si>
    <t xml:space="preserve">Flagged Issues row 168</t>
  </si>
  <si>
    <t xml:space="preserve">Split from multi-box cell 'Elliot Box (1) - R102648309  / Box (3) - R102648303'; Box # also listed at Matters + Records row 93</t>
  </si>
  <si>
    <t xml:space="preserve">R102648308</t>
  </si>
  <si>
    <t xml:space="preserve">Dan Harris Client Files</t>
  </si>
  <si>
    <t xml:space="preserve">Corodata Box 
- Dan Harris Client Docs - Tahi Tech
- General Corporate Materials (redwell &amp; binder)</t>
  </si>
  <si>
    <t xml:space="preserve">Dan Harris, Tahi</t>
  </si>
  <si>
    <t xml:space="preserve">Flagged Issues row 169</t>
  </si>
  <si>
    <t xml:space="preserve">R102648301</t>
  </si>
  <si>
    <t xml:space="preserve">Correspondence Binders for Bicent</t>
  </si>
  <si>
    <t xml:space="preserve">Correspondence Binders for Bicent (x3)</t>
  </si>
  <si>
    <t xml:space="preserve">Bicent</t>
  </si>
  <si>
    <t xml:space="preserve">Flagged Issues row 170</t>
  </si>
  <si>
    <t xml:space="preserve">R102648300</t>
  </si>
  <si>
    <t xml:space="preserve">Grenade, Rosenbood, Humane, Bibeault Stanley</t>
  </si>
  <si>
    <t xml:space="preserve">Grenade Envelope : ERC v. Grenade
Phyllis Dunwoody 8/10/2017 TSG Video Transcript
Christian Heptinstall 8/11/2017 TSG Video Transcript
Deposition of Greg Madsen 8/9/2017 TSG Video Transcript 
Rosenblood: Misc. Gerard Fox Law v. Rosenblood documents 
Bibeauth: Moloc v. Bobeault Moloco's RFPD #1 Docs Produced in Reponse to White RFPD CD. 
Amie Stanley Binder: transcript of Stanley v. Jacqueline Burks 2/16/18</t>
  </si>
  <si>
    <t xml:space="preserve">Rosenblood, Rosenbood, Grenade</t>
  </si>
  <si>
    <t xml:space="preserve">Flagged Issues row 171</t>
  </si>
  <si>
    <t xml:space="preserve">Adam Shapiro 3 Boxes</t>
  </si>
  <si>
    <t xml:space="preserve">Box #1 - SmashMallow Files
- Gramercy Bakery, LLC v. SmashMallow: Alan Berkel Deposition Prep Binders (x2)
-SmashMallow - Unlabeled Binder
- Gramercy Bakery, LLC v. SmashMallow LLC: Gramercy's PMK Deposition Prep Binder
- Gramercy Bakery, LLC v. SmashMallow: Chronology Binder
Box #2 - SmashMallow &amp; Lloyd Jones/Garrison Stone Brewing
- SmashMallow Loose Files
- In RE: Arbitration Between Stone Brewing Co. LLC and DBI Beverage San Jose: Briefs re. Bus. &amp; Prof. Code 25000.2
- Stone Brewing Co LLC v. Miller Coors LLC: Motion for Preliminary Injunction Binder 1 of 2 
- Lloyd Jones Capital, LLC v. Garrison Investment Group: Chronology Binder
- Lloyd Jones Capital v. Garrison Investment: Loose Files
Box #3 
- Adam's Handwritten Notes
- Carbon Investment Partners v. L.A. Bressler 
- Chronology by Module
- Carbon Investment Partners v. Lee A Bressler Bankruptcy Files
- Exhibit 2 - Pioneer House (loose)</t>
  </si>
  <si>
    <t xml:space="preserve">Smashmallow, SmashMallow, Stone, Carbon</t>
  </si>
  <si>
    <t xml:space="preserve">Split from multi-box cell 'Box (1) - R102648311 / Box (2) - R102648310 / Box (3) - R102648299'; Box # also listed at Matters + Records row 95</t>
  </si>
  <si>
    <t xml:space="preserve">Flagged Issues row 172</t>
  </si>
  <si>
    <t xml:space="preserve">Split from multi-box cell 'Box (1) - R102648311 / Box (2) - R102648310 / Box (3) - R102648299'; Box # also listed at Matters + Records row 96</t>
  </si>
  <si>
    <t xml:space="preserve">Split from multi-box cell 'Box (1) - R102648311 / Box (2) - R102648310 / Box (3) - R102648299'; Box # also listed at Matters + Records row 87</t>
  </si>
  <si>
    <t xml:space="preserve">R102648296</t>
  </si>
  <si>
    <t xml:space="preserve">Sunny D Transcripts</t>
  </si>
  <si>
    <t xml:space="preserve">TSG Transcripts: Videotaped Deposition of Malika Jones + Exhibit Sheets 1-8 &amp; 9-15</t>
  </si>
  <si>
    <t xml:space="preserve">Sunny D</t>
  </si>
  <si>
    <t xml:space="preserve">Flagged Issues row 173</t>
  </si>
  <si>
    <t xml:space="preserve">R102648304</t>
  </si>
  <si>
    <t xml:space="preserve">(9/28/2019 - 12/3/2018)</t>
  </si>
  <si>
    <t xml:space="preserve">Flagged Issues row 174</t>
  </si>
  <si>
    <t xml:space="preserve">Transcripts: Artic Zero, Orion, Asbury, Smashmallow</t>
  </si>
  <si>
    <t xml:space="preserve">Orion : 
Videotaped Deposition of David Anderson Volume II - 11/28/2018 (TSG)
Gramercy Bakery v. Smashmallow 
- Deposition of Gramercy Bakery through it's person most knowledgable James Minidus -01/04/2019 (TSG)
- Production of Documents of Annabelle Candy Company - 01/07/2019 
Artic Zero v. Aspen Hills 
- Videotaped Deposition of Nancy Jo Lundeen -12/04/2018
Asbury v. Factset 
- Reporter's Transcript of Proceeding - 12/21/2018</t>
  </si>
  <si>
    <t xml:space="preserve">Artic, Orion, Smashmallow, SmashMallow, Asbury</t>
  </si>
  <si>
    <t xml:space="preserve">Box # also listed at Matters + Records row 42, Matters + Records row 97</t>
  </si>
  <si>
    <t xml:space="preserve">Flagged Issues row 175</t>
  </si>
  <si>
    <t xml:space="preserve">R102648298</t>
  </si>
  <si>
    <t xml:space="preserve">Admin Mail 2018</t>
  </si>
  <si>
    <t xml:space="preserve">(1/23/2017 - 2/13/2019)</t>
  </si>
  <si>
    <t xml:space="preserve">Flagged Issues row 176</t>
  </si>
  <si>
    <t xml:space="preserve">R102648297</t>
  </si>
  <si>
    <t xml:space="preserve">Legal Mail 2018</t>
  </si>
  <si>
    <t xml:space="preserve">Flagged Issues row 177</t>
  </si>
  <si>
    <t xml:space="preserve">Box 1 of 3 - Lyell &amp; eCurrency</t>
  </si>
  <si>
    <t xml:space="preserve">BNY Mellon v. Lyell Wealth Wealth Management Jury Instruction Binder 
Eat Real Food LLC (DBA Culina) - Series Seed Financing - May 10 2018
Fed Project/Other Redwell
Commuications, Cross Compliant, CA Statues, Irish Law, Demurr, Derivative Redwell 
M&amp;C emails - lyell; lyell/Chron, Lyell-KS, Lyell - M/C + work Product Redwell</t>
  </si>
  <si>
    <t xml:space="preserve">Lyell, eCurrency, Ecurrency, BNY</t>
  </si>
  <si>
    <t xml:space="preserve">Box # also listed at Matters + Records row 59</t>
  </si>
  <si>
    <t xml:space="preserve">Flagged Issues row 178</t>
  </si>
  <si>
    <t xml:space="preserve">R102648293</t>
  </si>
  <si>
    <t xml:space="preserve">Artic Zero v. Aspen Hills Transcript - 12/4/2018</t>
  </si>
  <si>
    <t xml:space="preserve">Videotaped Depo of Nancy Jo Lundeen - 12/4/2018 (and CD)
Videotaped Depo of Thomas Lundeen Volume 2 - 12/4/2018 (and CD)
Videotaped Depo of Thomas Lundeen - 12/3/2018</t>
  </si>
  <si>
    <t xml:space="preserve">Artic</t>
  </si>
  <si>
    <t xml:space="preserve">Flagged Issues row 179</t>
  </si>
  <si>
    <t xml:space="preserve">R102354494</t>
  </si>
  <si>
    <t xml:space="preserve">AH- Docs Box # 1</t>
  </si>
  <si>
    <t xml:space="preserve">Box # also listed at Flagged Issues row 202</t>
  </si>
  <si>
    <t xml:space="preserve">Flagged Issues row 180</t>
  </si>
  <si>
    <t xml:space="preserve">R102354493</t>
  </si>
  <si>
    <t xml:space="preserve">AH- Docs Box # 2</t>
  </si>
  <si>
    <t xml:space="preserve">Box # also listed at Flagged Issues row 205</t>
  </si>
  <si>
    <t xml:space="preserve">Flagged Issues row 181</t>
  </si>
  <si>
    <t xml:space="preserve">R102354492</t>
  </si>
  <si>
    <t xml:space="preserve">AH- Docs Box # 3</t>
  </si>
  <si>
    <t xml:space="preserve">Box # also listed at Flagged Issues row 207</t>
  </si>
  <si>
    <t xml:space="preserve">Flagged Issues row 182</t>
  </si>
  <si>
    <t xml:space="preserve">R102354491</t>
  </si>
  <si>
    <t xml:space="preserve">AH- Docs Box # 4</t>
  </si>
  <si>
    <t xml:space="preserve">Box # also listed at Flagged Issues row 208</t>
  </si>
  <si>
    <t xml:space="preserve">Flagged Issues row 183</t>
  </si>
  <si>
    <t xml:space="preserve">R102354490</t>
  </si>
  <si>
    <t xml:space="preserve">BraunHagey &amp; B fye 12/31/17</t>
  </si>
  <si>
    <t xml:space="preserve">ficis account stain, misc invoices, experise R.</t>
  </si>
  <si>
    <t xml:space="preserve">Flagged Issues row 184</t>
  </si>
  <si>
    <t xml:space="preserve">R102354489</t>
  </si>
  <si>
    <t xml:space="preserve">AL- Client Binders Box # 1</t>
  </si>
  <si>
    <t xml:space="preserve">Empower v. Solarblue, judgement enforcement, visually - working border, Garrison - litigation, autodidactio + slands, cypress v. red oak, Daily Harvest - work binder</t>
  </si>
  <si>
    <t xml:space="preserve">Empower, Cypress, Daily Harvest</t>
  </si>
  <si>
    <t xml:space="preserve">Flagged Issues row 185</t>
  </si>
  <si>
    <t xml:space="preserve">R102354488</t>
  </si>
  <si>
    <t xml:space="preserve">AL- Client Binders Box # 2</t>
  </si>
  <si>
    <t xml:space="preserve">Hency v. sopko, elliott, corres. (x2), Elliott, plan and DSCI, Blocktowers, cyustavo dis, Garrison work binder</t>
  </si>
  <si>
    <t xml:space="preserve">Elliot</t>
  </si>
  <si>
    <t xml:space="preserve">Flagged Issues row 186</t>
  </si>
  <si>
    <t xml:space="preserve">R102354487</t>
  </si>
  <si>
    <t xml:space="preserve">AL- Client Binders Box # 3</t>
  </si>
  <si>
    <t xml:space="preserve">Ecurrency v. Ford, wano wk.B., empower v. solarblue wrk., eccurency stim appry</t>
  </si>
  <si>
    <t xml:space="preserve">Empower, eCurrency, Ecurrency</t>
  </si>
  <si>
    <t xml:space="preserve">Flagged Issues row 187</t>
  </si>
  <si>
    <t xml:space="preserve">R102354486</t>
  </si>
  <si>
    <t xml:space="preserve">AL- Client Redwells Box # 1</t>
  </si>
  <si>
    <t xml:space="preserve">Empower energy solarblue lit., empower enforcement of judge, Nature's Battery, Ecurrency, Autodidative, Dilley v. Gorlien, garrison client docs, DH v. Imperial, 7/27/18 PI Breifing, Mike Press, Baker Ave, JS</t>
  </si>
  <si>
    <t xml:space="preserve">Flagged Issues row 188</t>
  </si>
  <si>
    <t xml:space="preserve">R102354475</t>
  </si>
  <si>
    <t xml:space="preserve">AL- Client Redwells Box # 2</t>
  </si>
  <si>
    <t xml:space="preserve">Ghali Res + Policies, Ghali potential EXS, Efit, Elliott Res, Elliott</t>
  </si>
  <si>
    <t xml:space="preserve">Elliot, Ghali</t>
  </si>
  <si>
    <t xml:space="preserve">Original box # cell also read: R102354475, sup- Neo Merilian</t>
  </si>
  <si>
    <t xml:space="preserve">Flagged Issues row 189</t>
  </si>
  <si>
    <t xml:space="preserve">R102354484</t>
  </si>
  <si>
    <t xml:space="preserve">AL- client Redwells + Spiral Binded Docs box # 3</t>
  </si>
  <si>
    <t xml:space="preserve">Redwells: Ghali- Client Docs, Tiarht, Lawrance warbot- Passport capit (x3), HRT Petroleum, cutpick energy</t>
  </si>
  <si>
    <t xml:space="preserve">Ghali</t>
  </si>
  <si>
    <t xml:space="preserve">Flagged Issues row 190</t>
  </si>
  <si>
    <t xml:space="preserve">R102354483</t>
  </si>
  <si>
    <t xml:space="preserve">RH- Client Docs. + Bin</t>
  </si>
  <si>
    <t xml:space="preserve">Genband v. Impac. Hot Docs Bird, Genband- depo transcripts, Outdoorsy Redwell- CA case law, Tesselated</t>
  </si>
  <si>
    <t xml:space="preserve">Outdoorsy, Genband</t>
  </si>
  <si>
    <t xml:space="preserve">Flagged Issues row 191</t>
  </si>
  <si>
    <t xml:space="preserve">R102354482</t>
  </si>
  <si>
    <t xml:space="preserve">SC Office Box 1</t>
  </si>
  <si>
    <t xml:space="preserve">Redwell: UMG- Hwan, Renee 2016-11-8 San Mateo Court lyell, Carlos Ortega Docs (orig), Garrison Investment</t>
  </si>
  <si>
    <t xml:space="preserve">Lyell, UMG</t>
  </si>
  <si>
    <t xml:space="preserve">Flagged Issues row 192</t>
  </si>
  <si>
    <t xml:space="preserve">R102354481</t>
  </si>
  <si>
    <t xml:space="preserve">EC- Legal Mail 6/20-9/24</t>
  </si>
  <si>
    <t xml:space="preserve">Flagged Issues row 193</t>
  </si>
  <si>
    <t xml:space="preserve">R102354480</t>
  </si>
  <si>
    <t xml:space="preserve">EC- Misc Mail 6/18, 9/18, Single, Elliott, Greg, Onion</t>
  </si>
  <si>
    <t xml:space="preserve">Elliot, Single</t>
  </si>
  <si>
    <t xml:space="preserve">Flagged Issues row 194</t>
  </si>
  <si>
    <t xml:space="preserve">R102354479</t>
  </si>
  <si>
    <t xml:space="preserve">Priest/Picchi- SF welding</t>
  </si>
  <si>
    <t xml:space="preserve">Priest, Picchi</t>
  </si>
  <si>
    <t xml:space="preserve">Flagged Issues row 195</t>
  </si>
  <si>
    <t xml:space="preserve">R102354478</t>
  </si>
  <si>
    <t xml:space="preserve">Preist/Picchi- DLA Piper. SF welding files</t>
  </si>
  <si>
    <t xml:space="preserve">Preist, Picchi</t>
  </si>
  <si>
    <t xml:space="preserve">Flagged Issues row 196</t>
  </si>
  <si>
    <t xml:space="preserve">R102354495</t>
  </si>
  <si>
    <t xml:space="preserve">Priest/Picchi client files</t>
  </si>
  <si>
    <t xml:space="preserve">Flagged Issues row 197</t>
  </si>
  <si>
    <t xml:space="preserve">R102354497</t>
  </si>
  <si>
    <t xml:space="preserve">WFC client files 10 of 17</t>
  </si>
  <si>
    <t xml:space="preserve">Flagged Issues row 198</t>
  </si>
  <si>
    <t xml:space="preserve">R102354442</t>
  </si>
  <si>
    <t xml:space="preserve">Rosenblood Redwells &amp; Binders (AL)</t>
  </si>
  <si>
    <t xml:space="preserve">Rosenblood MSJ materials Redwells "claimants MSJ", Rosenblood Disco Motion/cases -&gt; redwell, Gerard Fox v. Rosenblood Telephonic hearing Binder</t>
  </si>
  <si>
    <t xml:space="preserve">Flagged Issues row 199</t>
  </si>
  <si>
    <t xml:space="preserve">R102354441</t>
  </si>
  <si>
    <t xml:space="preserve">Rosenblood Binders (AL)</t>
  </si>
  <si>
    <t xml:space="preserve">Rosenblood Expert Report Binder, Rosenblood AL Exhibit Binder</t>
  </si>
  <si>
    <t xml:space="preserve">Flagged Issues row 200</t>
  </si>
  <si>
    <t xml:space="preserve">R102354440</t>
  </si>
  <si>
    <t xml:space="preserve">Misc. Binders (AL &amp; JNH)</t>
  </si>
  <si>
    <t xml:space="preserve">Bold v. Goldman Sachs (ramsey dispute) working binder, DGL Binder, Smashmallow Hot Docs Binders #1 &amp; #2</t>
  </si>
  <si>
    <t xml:space="preserve">Smashmallow, SmashMallow, Bold v. Goldman</t>
  </si>
  <si>
    <t xml:space="preserve">Flagged Issues row 201</t>
  </si>
  <si>
    <t xml:space="preserve">Allison Hagey Boxes Corodata #1</t>
  </si>
  <si>
    <t xml:space="preserve">crowdfunding file, bluesky file, del llc code file, CA llc code file, series A financing for corp. financing ref, black acorn venture-client docs Redwell, OUAF corporate doc Redwell; Native cos Corporate dox Redwell, NB corporate doc Redwell, Folder "ever after" TM "Nulo" TM, "Green Joy", urban remedy notes, Gottfried recall notes, Folders: Lord Nut; Peanuts; Dave Peters: eat fried veggiesm emmer &amp; co - Jesse Solomon, Ladera Foods - Brian Tetrud, Misc Notes Folder, Tam Tam Bora</t>
  </si>
  <si>
    <t xml:space="preserve">Nulo, OUAF</t>
  </si>
  <si>
    <t xml:space="preserve">Box # also listed at Flagged Issues row 180</t>
  </si>
  <si>
    <t xml:space="preserve">Flagged Issues row 202</t>
  </si>
  <si>
    <t xml:space="preserve">Allison Hagey Boxes Corodata #2</t>
  </si>
  <si>
    <t xml:space="preserve">B&amp;G: Cream of Wheat Redwell, Rustic Bakery Redwell bylaws TM AA, Redwell for "search results for skinny", amplify Redwell (includes paqui, skinnycakes, tyrrells); amplify corporate redwell, OUAF corp. Redwell, OUAF sereies A 3rd close Redwell</t>
  </si>
  <si>
    <t xml:space="preserve">B&amp;G, OUAF, Amplify</t>
  </si>
  <si>
    <t xml:space="preserve">Box # also listed at Flagged Issues row 181</t>
  </si>
  <si>
    <t xml:space="preserve">Flagged Issues row 205</t>
  </si>
  <si>
    <t xml:space="preserve">Allison Hagey Boxes Corodata #3</t>
  </si>
  <si>
    <t xml:space="preserve">OUAF/Bright Bar &amp; other Misc. Docs Redwell, research reports: storybrook smoothie, Native, be well x2, sonoma brands, Natures Bakery, uust carrots, chameleon cold brew, design of a chameleon, sust beets</t>
  </si>
  <si>
    <t xml:space="preserve">Natures Bakery, OUAF</t>
  </si>
  <si>
    <t xml:space="preserve">Box # also listed at Flagged Issues row 182</t>
  </si>
  <si>
    <t xml:space="preserve">Flagged Issues row 207</t>
  </si>
  <si>
    <t xml:space="preserve">Allison Hagey Boxes Corodata #4</t>
  </si>
  <si>
    <t xml:space="preserve">Chameleon Corp Redwell, Be Well Corp Redwell, crowdfunding final rule, organic farming manual, taste what youre missing book one entrepreneur's take on leadership,; social media &amp; self awareness book, thwarting consumer choice, cooking up a buisness, nine principles of litigation &amp; life, black's law dictionary</t>
  </si>
  <si>
    <t xml:space="preserve">Box # also listed at Flagged Issues row 183</t>
  </si>
  <si>
    <t xml:space="preserve">Flagged Issues row 208</t>
  </si>
  <si>
    <t xml:space="preserve">R101399107</t>
  </si>
  <si>
    <t xml:space="preserve">RF - Offsite - Box 5 of 5</t>
  </si>
  <si>
    <t xml:space="preserve">Beanitos Chronology Binder; Misc. Arbitrator List Binder</t>
  </si>
  <si>
    <t xml:space="preserve">Beanitos</t>
  </si>
  <si>
    <t xml:space="preserve">Flagged Issues row 210</t>
  </si>
  <si>
    <t xml:space="preserve">R102648134</t>
  </si>
  <si>
    <t xml:space="preserve">MBB Office</t>
  </si>
  <si>
    <t xml:space="preserve">Peter Ni Cross-Examination Binder; Cross Examination of Peter Ni; Misc. Loose Docs; Jury Instructions Binder; RJN Manila Folders</t>
  </si>
  <si>
    <t xml:space="preserve">Ni Cross</t>
  </si>
  <si>
    <t xml:space="preserve">Flagged Issues row 211</t>
  </si>
  <si>
    <t xml:space="preserve">R102648137</t>
  </si>
  <si>
    <t xml:space="preserve">JNH Desk</t>
  </si>
  <si>
    <t xml:space="preserve">Admitted Trial Exhibits Binder Days 1-6; MSJ Declarations and Exhibits (Vol.1)</t>
  </si>
  <si>
    <t xml:space="preserve">Flagged Issues row 212</t>
  </si>
  <si>
    <t xml:space="preserve">R102648142</t>
  </si>
  <si>
    <t xml:space="preserve">JNH Office</t>
  </si>
  <si>
    <t xml:space="preserve">DGDG/Ahmed Fattouh JNH Desk Binder; Ahmed Redwell; Ahmed Marriage of Del Grande Folder; Kent Lake Capital Chronology Documents Binder + Notes</t>
  </si>
  <si>
    <t xml:space="preserve">DGDG</t>
  </si>
  <si>
    <t xml:space="preserve">Flagged Issues row 213</t>
  </si>
  <si>
    <t xml:space="preserve">Taylor's Office</t>
  </si>
  <si>
    <t xml:space="preserve">Box 1: Humm Kombucha Distribution Agreement Binder; MISC Nulo Notes; Stone Napa Dispute - Timeline Chronology Binder; Ashbury - Def's MSJ Binder; Ashbury - Unlabeled Binder - Engman Deposition Transcript; Sean Sharma - Unlabeled Binder; MISC FINRA Binded Docs; Sean Sharma - Working Binder
Box 2: Polychain v. Greenhouse --&gt; Cases &amp; Authorities in Briefs Binder; Delaware Chancery Court Deocuments Binder; Claimant's Opening Brief Binder; Claimant's Requests for Attorney's Fees and Costs Binder; Polychain Financial Statements - Redwell; Loose Docs
Box 3: Polychain v. Greenhouse --&gt; Arbitration Demand &amp; Briefs Binder; Respondent's Opposition to Claimant's Opening Briefs Binder; MISC Docs of Polychain &amp; Rosenblood; Other --&gt; Jeff &amp; Vina Deposition Preparation; Sharma Depo Prep Volumes 1 &amp; 2
Box 4: Carbon --&gt; Chronology by Module Binder; FINRA Arbitration Binder; SEC Enforcement Cases - Redwell
Box 5: Orion --&gt; MTD First Amdended Complaint Vol. 1 &amp; 2 Binders; Discovery Hearing Binder
Box 6: Soutirage --&gt; 6/22 JAMS Arbitration Hearing Binder; Soutirage's Abritration Binder (x4); Gundlach Claimant's Arbitration Exhibits; Original/Sealed Transcript 6/22/18; MISC Notes &amp; Transcripts; Exhibits Redwell
Box 7: Several MISC Manila Folders - All cases</t>
  </si>
  <si>
    <t xml:space="preserve">Orion, Rosenblood, Stone, Nulo, Ashbury, Humm, Polychain, Carbon</t>
  </si>
  <si>
    <t xml:space="preserve">No box number recorded; May contain originals - return to client, do not shred</t>
  </si>
  <si>
    <t xml:space="preserve">Flagged Issues row 214</t>
  </si>
  <si>
    <t xml:space="preserve">R102648291</t>
  </si>
  <si>
    <t xml:space="preserve">JNH - Stone WPP Binders</t>
  </si>
  <si>
    <t xml:space="preserve">Folder - Noah's "Trial Binder?" tabs etc.; WPP Deposition Modules Binder; Master Chronology III. Covid Lease Dispute binder"</t>
  </si>
  <si>
    <t xml:space="preserve">Stone, WPP</t>
  </si>
  <si>
    <t xml:space="preserve">Flagged Issues row 215</t>
  </si>
  <si>
    <t xml:space="preserve">R102153862</t>
  </si>
  <si>
    <t xml:space="preserve">PLV Docs</t>
  </si>
  <si>
    <t xml:space="preserve">Babyganics product Ingredients binder, Connecticut Gen Lfie Insurance exhibit binder</t>
  </si>
  <si>
    <t xml:space="preserve">Flagged Issues row 216</t>
  </si>
  <si>
    <t xml:space="preserve">R102153865</t>
  </si>
  <si>
    <t xml:space="preserve">Beach Nut</t>
  </si>
  <si>
    <t xml:space="preserve">Pre/post trial breifs</t>
  </si>
  <si>
    <t xml:space="preserve">Flagged Issues row 217</t>
  </si>
  <si>
    <t xml:space="preserve">R102153870</t>
  </si>
  <si>
    <t xml:space="preserve">B &amp; G</t>
  </si>
  <si>
    <t xml:space="preserve">Misc Docs/Research, Stock Purchase agreements &amp; plan of merger, andry v. B&amp;G, initial diclosures + CD,2 notebooks, Renee kwah James Arbitration Binder, Babyganics misc docs cases redwells</t>
  </si>
  <si>
    <t xml:space="preserve">B&amp;G, B &amp; G, Babyganics</t>
  </si>
  <si>
    <t xml:space="preserve">May contain originals - return to client, do not shred</t>
  </si>
  <si>
    <t xml:space="preserve">Flagged Issues row 218</t>
  </si>
  <si>
    <t xml:space="preserve">R102153871</t>
  </si>
  <si>
    <t xml:space="preserve">Energy team</t>
  </si>
  <si>
    <t xml:space="preserve">Settlement Statement, key cases, key docs, opposition to motio9n to vacate arrest warrant, settlement material, motion to vacate arrest warrant, misc docs; Pirate 2013 market overview,; 1927 Opp Docs, rule ll opp, B&amp;G court decision binder</t>
  </si>
  <si>
    <t xml:space="preserve">Pirate, B&amp;G, Energy team</t>
  </si>
  <si>
    <t xml:space="preserve">Flagged Issues row 219</t>
  </si>
  <si>
    <t xml:space="preserve">R102153879</t>
  </si>
  <si>
    <t xml:space="preserve">NFA chronology, Demurrer Binder, Kass's Mediation Breif, Hedge fund litigation binder, Motion to compel 3 Hearing Binder, misc docs; Babyganics product testing binder, BG- Jones Docs; Plaintiffs confidential mediation statement binder</t>
  </si>
  <si>
    <t xml:space="preserve">Babyganics, Paron</t>
  </si>
  <si>
    <t xml:space="preserve">Flagged Issues row 221</t>
  </si>
  <si>
    <t xml:space="preserve">R102153880</t>
  </si>
  <si>
    <t xml:space="preserve">Lyell</t>
  </si>
  <si>
    <t xml:space="preserve">Confidential meditaion statement binder, transcripts and depo notes (vol. 182) binder, EX 1-188 Binder, Modules for mdeiation Binder, Bennitt/Berry/Connell/Tuck extraction binder, misc notepads redwells</t>
  </si>
  <si>
    <t xml:space="preserve">Flagged Issues row 223</t>
  </si>
  <si>
    <t xml:space="preserve">R102153881</t>
  </si>
  <si>
    <t xml:space="preserve">Confidential mediation statement binder, misc manilla folders, binders, redwells, JNH working binder, Bennitt/Berry/Connell/Tuck extraction binder, 2017-02-08 letter request binder, expert materials binder</t>
  </si>
  <si>
    <t xml:space="preserve">Flagged Issues row 224</t>
  </si>
  <si>
    <t xml:space="preserve">R102153882</t>
  </si>
  <si>
    <t xml:space="preserve">Misc research + reports</t>
  </si>
  <si>
    <t xml:space="preserve">Flagged Issues row 225</t>
  </si>
  <si>
    <t xml:space="preserve">R102153883</t>
  </si>
  <si>
    <t xml:space="preserve">MBB working binder, joint submission by Puglia and BAE systems Binder, Donald Heberk Communications Redwell, Bennitt/Berry/Connell/Tuck Extraction Binder</t>
  </si>
  <si>
    <t xml:space="preserve">Flagged Issues row 226</t>
  </si>
  <si>
    <t xml:space="preserve">R102153884</t>
  </si>
  <si>
    <t xml:space="preserve">no discernable description</t>
  </si>
  <si>
    <t xml:space="preserve">Trial Prep Binder, misc research notepads, Eva Misc, lyell, eCurrency, Tyrell Redwells, Folders, Notepads</t>
  </si>
  <si>
    <t xml:space="preserve">Lyell, eCurrency, Ecurrency</t>
  </si>
  <si>
    <t xml:space="preserve">Flagged Issues row 227</t>
  </si>
  <si>
    <t xml:space="preserve">R102153885</t>
  </si>
  <si>
    <t xml:space="preserve">Intersting Emails Binder, Transcripts</t>
  </si>
  <si>
    <t xml:space="preserve">Flagged Issues row 228</t>
  </si>
  <si>
    <t xml:space="preserve">R102266397</t>
  </si>
  <si>
    <t xml:space="preserve">Taunton</t>
  </si>
  <si>
    <t xml:space="preserve">Nancy Docs Redwell, Misc Documents Redwells</t>
  </si>
  <si>
    <t xml:space="preserve">Flagged Issues row 229</t>
  </si>
  <si>
    <t xml:space="preserve">R102153873</t>
  </si>
  <si>
    <t xml:space="preserve">Carlos Ortega Docket Redwell; Newport trial hot docs redwell; Moodcast misc folders and research</t>
  </si>
  <si>
    <t xml:space="preserve">Moodcast</t>
  </si>
  <si>
    <t xml:space="preserve">Flagged Issues row 230</t>
  </si>
  <si>
    <t xml:space="preserve">R102266938</t>
  </si>
  <si>
    <t xml:space="preserve">Donald Golden</t>
  </si>
  <si>
    <t xml:space="preserve">Pleadings folders, Correspondence Folders, Apellate Court Rules Folder</t>
  </si>
  <si>
    <t xml:space="preserve">Golden</t>
  </si>
  <si>
    <t xml:space="preserve">Flagged Issues row 231</t>
  </si>
  <si>
    <t xml:space="preserve">R102266939</t>
  </si>
  <si>
    <t xml:space="preserve">Deposition Transcripts</t>
  </si>
  <si>
    <t xml:space="preserve">Flagged Issues row 232</t>
  </si>
  <si>
    <t xml:space="preserve">R102153876</t>
  </si>
  <si>
    <t xml:space="preserve">Confidential mediation binder, Brand Studies Binder, Product Ingredients Binder, Misc research notes EKS 8/17/17, Misc research papers</t>
  </si>
  <si>
    <t xml:space="preserve">Flagged Issues row 233</t>
  </si>
  <si>
    <t xml:space="preserve">EKS 8/17/17</t>
  </si>
  <si>
    <t xml:space="preserve">Misc research, papers, redwells; Rainsy decl. and exhibits binders; Golden CEP production, draft trial exhibits, sealed depos</t>
  </si>
  <si>
    <t xml:space="preserve">Rainsy, Golden</t>
  </si>
  <si>
    <t xml:space="preserve">Box # also listed at Flagged Issues row 107</t>
  </si>
  <si>
    <t xml:space="preserve">Flagged Issues row 234</t>
  </si>
  <si>
    <t xml:space="preserve">R102153869</t>
  </si>
  <si>
    <t xml:space="preserve">Production</t>
  </si>
  <si>
    <t xml:space="preserve">Flagged Issues row 235</t>
  </si>
  <si>
    <t xml:space="preserve">R102153868</t>
  </si>
  <si>
    <t xml:space="preserve">Healtchcare facility agreement docs</t>
  </si>
  <si>
    <t xml:space="preserve">Flagged Issues row 236</t>
  </si>
  <si>
    <t xml:space="preserve">R102153867</t>
  </si>
  <si>
    <t xml:space="preserve">Huffman Sara, misc research</t>
  </si>
  <si>
    <t xml:space="preserve">Huffman</t>
  </si>
  <si>
    <t xml:space="preserve">Flagged Issues row 237</t>
  </si>
  <si>
    <t xml:space="preserve">Multiple Case Documents</t>
  </si>
  <si>
    <t xml:space="preserve">Ashbury misc research, notes; Babyganics brand study binder; Optronic mediation statement binder; Golden Misc folders; Nature's Bakery trademark research report</t>
  </si>
  <si>
    <t xml:space="preserve">Nature's Bakery, Babyganics, Ashbury, Golden</t>
  </si>
  <si>
    <t xml:space="preserve">Box # also listed at Flagged Issues row 108</t>
  </si>
  <si>
    <t xml:space="preserve">Flagged Issues row 238</t>
  </si>
  <si>
    <t xml:space="preserve">R102266940</t>
  </si>
  <si>
    <t xml:space="preserve">Sam Rainsey Hearing binder; Foster Farms water records; Arreola court transcripts; Lyell hearing binder; CANHR misc docs redwell; Bhatt misc docs redwell; CANHR misc documents binder</t>
  </si>
  <si>
    <t xml:space="preserve">Lyell, Rainsey, Foster Farms</t>
  </si>
  <si>
    <t xml:space="preserve">Flagged Issues row 239</t>
  </si>
  <si>
    <t xml:space="preserve">R102266941</t>
  </si>
  <si>
    <t xml:space="preserve">Flagged Issues row 240</t>
  </si>
  <si>
    <t xml:space="preserve">R102266942</t>
  </si>
  <si>
    <t xml:space="preserve">Rainsy research binder; CANHR misc research redwells; eCurrency working binder; Tiahrt research redwell; Delman brand production redwell; NB conflict docs Redwell</t>
  </si>
  <si>
    <t xml:space="preserve">Rainsy, Delman, eCurrency, Ecurrency</t>
  </si>
  <si>
    <t xml:space="preserve">Flagged Issues row 241</t>
  </si>
  <si>
    <t xml:space="preserve">R102266943</t>
  </si>
  <si>
    <t xml:space="preserve">Orion meidation Binder; Kunesch misc docs, research; Lyell Decl. and Exhibits</t>
  </si>
  <si>
    <t xml:space="preserve">Lyell, Orion, Kunesch</t>
  </si>
  <si>
    <t xml:space="preserve">Flagged Issues row 242</t>
  </si>
  <si>
    <t xml:space="preserve">R102266944</t>
  </si>
  <si>
    <t xml:space="preserve">Orion misc documents, redwells, reports; Pirates caselaw research files redwell</t>
  </si>
  <si>
    <t xml:space="preserve">Orion, Pirate</t>
  </si>
  <si>
    <t xml:space="preserve">Flagged Issues row 243</t>
  </si>
  <si>
    <t xml:space="preserve">R102266945</t>
  </si>
  <si>
    <t xml:space="preserve">Pirates Mot. To transfer Binder; Opp Binder; GMO docs Binder; Ashbury Heights chronology binder, mediation breifs, motion, appendix, appealdocs redwell</t>
  </si>
  <si>
    <t xml:space="preserve">Pirate, Ashbury</t>
  </si>
  <si>
    <t xml:space="preserve">Flagged Issues row 244</t>
  </si>
  <si>
    <t xml:space="preserve">R102266946</t>
  </si>
  <si>
    <t xml:space="preserve">Ashbury appeal docs redwell, misc docs, motion, appendix, breif; CANHR misc docs, research; Orion notes</t>
  </si>
  <si>
    <t xml:space="preserve">Orion, Ashbury</t>
  </si>
  <si>
    <t xml:space="preserve">Flagged Issues row 245</t>
  </si>
  <si>
    <t xml:space="preserve">R102266947</t>
  </si>
  <si>
    <t xml:space="preserve">Orion Shipping Data; Sequel Noah working binder, key docs binder, dropbox docs binder, misc docs, redwells, cases, research</t>
  </si>
  <si>
    <t xml:space="preserve">Orion, Sequel</t>
  </si>
  <si>
    <t xml:space="preserve">Flagged Issues row 246</t>
  </si>
  <si>
    <t xml:space="preserve">R102266948</t>
  </si>
  <si>
    <t xml:space="preserve">Beech Nut opinion Binder, Breifs Binder; Narbat Chronology Binder, mediation binder, misc notes, redwells; PLV Misc docs, redwell, binder; Pirates market overview binder; Tagged misc docs, redwell, binder; Foster Farms ALDF redwell, folders, water reports; Sidecar sidecar docs, binder; Eat24 Docs Binder; Bio-reference Laboratories INC misc docs Redwell</t>
  </si>
  <si>
    <t xml:space="preserve">Pirate, Beech, Foster Farms, Tagged, Narbat</t>
  </si>
  <si>
    <t xml:space="preserve">Flagged Issues row 247</t>
  </si>
  <si>
    <t xml:space="preserve">R102266949</t>
  </si>
  <si>
    <t xml:space="preserve">Skinnypop misc redwell, research, folders; GMP Hawaii Chron Binder, working binder; Art.com manual binder; Natures Baker research binder, Hot Docs Binder, Mediation Binder, bio Folder, Artciles Folder; finanual folder, talking points folder</t>
  </si>
  <si>
    <t xml:space="preserve">SkinnyPop, Skinnypop, Art.com</t>
  </si>
  <si>
    <t xml:space="preserve">Flagged Issues row 249</t>
  </si>
  <si>
    <t xml:space="preserve">R102266950</t>
  </si>
  <si>
    <t xml:space="preserve">Natures Bakery Stewart Haas racing Binder, Stewart Haas notes, documents; Babyganics misc docs, redwells, research, reports, redmand letters redwell</t>
  </si>
  <si>
    <t xml:space="preserve">Natures Bakery, Babyganics</t>
  </si>
  <si>
    <t xml:space="preserve">Flagged Issues row 251</t>
  </si>
  <si>
    <t xml:space="preserve">R102266951</t>
  </si>
  <si>
    <t xml:space="preserve">ammending expert declarations redwell, misc folders, redwells; Arctic Zero timeline Binder</t>
  </si>
  <si>
    <t xml:space="preserve">Flagged Issues row 252</t>
  </si>
  <si>
    <t xml:space="preserve">R102266952</t>
  </si>
  <si>
    <t xml:space="preserve">Aleah misc folders, redwells, deposition transcripts binder; Pirates motion to transfer redwell, research &amp; misc docs redwell, NSCFA redwell; VMG case research redwell, Arctic Zero Perkins Redwell, docs from client redwell</t>
  </si>
  <si>
    <t xml:space="preserve">Aleah, Arctic, Pirate, VMG</t>
  </si>
  <si>
    <t xml:space="preserve">Flagged Issues row 253</t>
  </si>
  <si>
    <t xml:space="preserve">R102266953</t>
  </si>
  <si>
    <t xml:space="preserve">Pirate MTD redwell, mis research redwell, mot. To transfer research redwell, FDUTPA redwell; Arctic Zero perkins Production redwell</t>
  </si>
  <si>
    <t xml:space="preserve">Arctic, Pirate</t>
  </si>
  <si>
    <t xml:space="preserve">Flagged Issues row 254</t>
  </si>
  <si>
    <t xml:space="preserve">R102266954</t>
  </si>
  <si>
    <t xml:space="preserve">Arctic Zero GC work redwell; Benefit misc folders, sales agreements, research notes, Macys Files; Sequel misc docs, notes; Pirate timeline redwell, retention docs redwell</t>
  </si>
  <si>
    <t xml:space="preserve">Arctic, Pirate, Sequel, Benefit</t>
  </si>
  <si>
    <t xml:space="preserve">Flagged Issues row 255</t>
  </si>
  <si>
    <t xml:space="preserve">R102266955</t>
  </si>
  <si>
    <t xml:space="preserve">Sequal litigation docs, misc notes, discovery redwell; Pirates misc notes, mediation binder; Ortega full docket redwell, docs from opposing counsel redwell</t>
  </si>
  <si>
    <t xml:space="preserve">Pirate, Sequal</t>
  </si>
  <si>
    <t xml:space="preserve">Flagged Issues row 256</t>
  </si>
  <si>
    <t xml:space="preserve">R102266956</t>
  </si>
  <si>
    <t xml:space="preserve">OEC- Charley</t>
  </si>
  <si>
    <t xml:space="preserve">Docket Binder #1,2,3,4, misc docs</t>
  </si>
  <si>
    <t xml:space="preserve">OEC, Charley</t>
  </si>
  <si>
    <t xml:space="preserve">Flagged Issues row 257</t>
  </si>
  <si>
    <t xml:space="preserve">R102266957</t>
  </si>
  <si>
    <t xml:space="preserve">Pleadings, dicsovery, sealed depos, key docs by issue</t>
  </si>
  <si>
    <t xml:space="preserve">Flagged Issues row 258</t>
  </si>
  <si>
    <t xml:space="preserve">R102266958</t>
  </si>
  <si>
    <t xml:space="preserve">Key docs by issue</t>
  </si>
  <si>
    <t xml:space="preserve">Flagged Issues row 259</t>
  </si>
  <si>
    <t xml:space="preserve">R102266959</t>
  </si>
  <si>
    <t xml:space="preserve">Charley case research; Skinnypop notepad; Aleah notepad; Chiem final prep notepad; Yunhee Yoo working Binder, arbitration binder, corresponding folders, case research folder, notepads; KCM sale process binder, notepads; Babyganics case research folders redwells, notepads</t>
  </si>
  <si>
    <t xml:space="preserve">Aleah, Babyganics, SkinnyPop, Skinnypop, Chiem, Charley</t>
  </si>
  <si>
    <t xml:space="preserve">Flagged Issues row 260</t>
  </si>
  <si>
    <t xml:space="preserve">R102266960</t>
  </si>
  <si>
    <t xml:space="preserve">Moodcast, Pirates</t>
  </si>
  <si>
    <t xml:space="preserve">Moodcast pleadings redwell, client docs redwells, Gary portable harddrive; Pirates Disc redwell, case research redwell, MTD mediation statement &amp; report, arbitration binder, chron binder</t>
  </si>
  <si>
    <t xml:space="preserve">Pirate, Moodcast</t>
  </si>
  <si>
    <t xml:space="preserve">Flagged Issues row 262</t>
  </si>
  <si>
    <t xml:space="preserve">R102266961</t>
  </si>
  <si>
    <t xml:space="preserve">Sequel Naturals</t>
  </si>
  <si>
    <t xml:space="preserve">Amoretti misc folders; Sauction misc folders; Aprict Keinds misc folders; Aniamal welfare Approved misc folders; Callado plaintiff MPA, Decleration; Sequel Naturals work prodcut redwell, research redwell, client data redwell, misc redwell</t>
  </si>
  <si>
    <t xml:space="preserve">Sequel, Amoretti</t>
  </si>
  <si>
    <t xml:space="preserve">Flagged Issues row 263</t>
  </si>
  <si>
    <t xml:space="preserve">R102282357</t>
  </si>
  <si>
    <t xml:space="preserve">Sequal Naturals misc folders; Lyell dep, decl. ROGS, RFP; Pirate Brands ex redwell, Hansell redwell, ehrlich pisco redwell, brain bigohan redwell, moodcast redwell</t>
  </si>
  <si>
    <t xml:space="preserve">Lyell, Pirate, Sequal, Moodcast</t>
  </si>
  <si>
    <t xml:space="preserve">Flagged Issues row 264</t>
  </si>
  <si>
    <t xml:space="preserve">R102282358</t>
  </si>
  <si>
    <t xml:space="preserve">pleadings folder, legal research folder, discovery redwell, deposition redwell, dep CD's</t>
  </si>
  <si>
    <t xml:space="preserve">Flagged Issues row 265</t>
  </si>
  <si>
    <t xml:space="preserve">R102282359</t>
  </si>
  <si>
    <t xml:space="preserve">Pirates Brand mateirals binder, misc docs folder, Chron Binder, Arbitration docs binder, settlement binderm misc notepads, notebooks; eCurrency interview prep binder</t>
  </si>
  <si>
    <t xml:space="preserve">Pirate, eCurrency, Ecurrency</t>
  </si>
  <si>
    <t xml:space="preserve">Flagged Issues row 266</t>
  </si>
  <si>
    <t xml:space="preserve">R102282360</t>
  </si>
  <si>
    <t xml:space="preserve">Misc redwells, folders, research; Tyrell email + attachments; Bewell misc folders; Orion misc notes redwell; Spread Joy misc research + reports, misc research folder; Pirates Brand research redwell</t>
  </si>
  <si>
    <t xml:space="preserve">Flagged Issues row 267</t>
  </si>
  <si>
    <t xml:space="preserve">R102282361</t>
  </si>
  <si>
    <t xml:space="preserve">Skinnypop docs from client, folders; Dominguez slap appeal redwell, misc case research redwells</t>
  </si>
  <si>
    <t xml:space="preserve">SkinnyPop, Skinnypop, Dominguez</t>
  </si>
  <si>
    <t xml:space="preserve">Flagged Issues row 268</t>
  </si>
  <si>
    <t xml:space="preserve">R102282363</t>
  </si>
  <si>
    <t xml:space="preserve">Misc Notepads</t>
  </si>
  <si>
    <t xml:space="preserve">Flagged Issues row 269</t>
  </si>
  <si>
    <t xml:space="preserve">R102282364</t>
  </si>
  <si>
    <t xml:space="preserve">VM6 OEC</t>
  </si>
  <si>
    <t xml:space="preserve">Cyprus; Greenberg; VMG scae research redwell, depo prep redwell, misc folders &amp; notepads; OEC misc notes, research, folders, redwells</t>
  </si>
  <si>
    <t xml:space="preserve">OEC, Cyprus, VMG</t>
  </si>
  <si>
    <t xml:space="preserve">Flagged Issues row 270</t>
  </si>
  <si>
    <t xml:space="preserve">R102282365</t>
  </si>
  <si>
    <t xml:space="preserve">Delman Henry</t>
  </si>
  <si>
    <t xml:space="preserve">Delman heany, Mot binders; Henry mediation breif, misc redwell research; Pirates Aspen production redwell; Cypress claron</t>
  </si>
  <si>
    <t xml:space="preserve">Pirate, Delman, Cypress, Henry</t>
  </si>
  <si>
    <t xml:space="preserve">Flagged Issues row 271</t>
  </si>
  <si>
    <t xml:space="preserve">R102282366</t>
  </si>
  <si>
    <t xml:space="preserve">Cypress, SkinnyPop</t>
  </si>
  <si>
    <t xml:space="preserve">Cypress research redwell, local rules binder, compliance manual binder; SkinnyPop misc research, files, folders; B&amp;G misc folders, files, notebooks</t>
  </si>
  <si>
    <t xml:space="preserve">B&amp;G, SkinnyPop, Skinnypop, Cypress</t>
  </si>
  <si>
    <t xml:space="preserve">Flagged Issues row 272</t>
  </si>
  <si>
    <t xml:space="preserve">R102282367</t>
  </si>
  <si>
    <t xml:space="preserve">SkinnyPop, B&amp;G, Delman</t>
  </si>
  <si>
    <t xml:space="preserve">ORC evidence binder; Delman bank statemnets2011</t>
  </si>
  <si>
    <t xml:space="preserve">B&amp;G, SkinnyPop, Skinnypop, Delman</t>
  </si>
  <si>
    <t xml:space="preserve">Flagged Issues row 273</t>
  </si>
  <si>
    <t xml:space="preserve">R102282368</t>
  </si>
  <si>
    <t xml:space="preserve">OEC</t>
  </si>
  <si>
    <t xml:space="preserve">Lesser Evil, Natural balance, Justins misc redwell; Season's notebook; Griffith misc redwell; Dec research binders</t>
  </si>
  <si>
    <t xml:space="preserve">Natural Balance, OEC, Lesser Evil, Justin</t>
  </si>
  <si>
    <t xml:space="preserve">Flagged Issues row 274</t>
  </si>
  <si>
    <t xml:space="preserve">R102282369</t>
  </si>
  <si>
    <t xml:space="preserve">OEC binders, misc research folders</t>
  </si>
  <si>
    <t xml:space="preserve">Flagged Issues row 275</t>
  </si>
  <si>
    <t xml:space="preserve">R102282370</t>
  </si>
  <si>
    <t xml:space="preserve">Ricon Point</t>
  </si>
  <si>
    <t xml:space="preserve">Ricon Point low, legal research, pleading + admin + policies redwell</t>
  </si>
  <si>
    <t xml:space="preserve">Flagged Issues row 276</t>
  </si>
  <si>
    <t xml:space="preserve">R102282371</t>
  </si>
  <si>
    <t xml:space="preserve">Equrey</t>
  </si>
  <si>
    <t xml:space="preserve">Equity comm misc redwells, folders, research; Bloback 3rd set appendix</t>
  </si>
  <si>
    <t xml:space="preserve">Equity</t>
  </si>
  <si>
    <t xml:space="preserve">Flagged Issues row 277</t>
  </si>
  <si>
    <t xml:space="preserve">R102282372</t>
  </si>
  <si>
    <t xml:space="preserve">Tagged Petroff</t>
  </si>
  <si>
    <t xml:space="preserve">Tagged Petroff Sequel Naturals redwells- corr folders</t>
  </si>
  <si>
    <t xml:space="preserve">Sequel, Tagged, Petroff</t>
  </si>
  <si>
    <t xml:space="preserve">Flagged Issues row 278</t>
  </si>
  <si>
    <t xml:space="preserve">R102282373</t>
  </si>
  <si>
    <t xml:space="preserve">Aleah, Ashbury, Cypress PT, Demlan, OEC logisitcs, Tagged RFP binder, production binder, Arctic Zero - incorp binderm chron-binder, Arctic Zero- redwell signed docs</t>
  </si>
  <si>
    <t xml:space="preserve">Aleah, Arctic, OEC, Cypress, Ashbury, Tagged</t>
  </si>
  <si>
    <t xml:space="preserve">Flagged Issues row 279</t>
  </si>
  <si>
    <t xml:space="preserve">R102282374</t>
  </si>
  <si>
    <t xml:space="preserve">OEC- Charkey docket filings</t>
  </si>
  <si>
    <t xml:space="preserve">Flagged Issues row 280</t>
  </si>
  <si>
    <t xml:space="preserve">R102282375</t>
  </si>
  <si>
    <t xml:space="preserve">Nulo</t>
  </si>
  <si>
    <t xml:space="preserve">Nulo food notebook + research folders, misc research redwells, research report; Chiem pretrial conference redwell, doc prodcution redwell, max MKTG redwell</t>
  </si>
  <si>
    <t xml:space="preserve">Chiem, Nulo</t>
  </si>
  <si>
    <t xml:space="preserve">Flagged Issues row 281</t>
  </si>
  <si>
    <t xml:space="preserve">R102282376</t>
  </si>
  <si>
    <t xml:space="preserve">Tagged Chiem</t>
  </si>
  <si>
    <t xml:space="preserve">Cheim Doc production redwell, corp docs redwell, tagged working doc folder + redwell; Krave docs from client folder; Babyganics ingred and survey binder; Bay City, sagita bay city docs redwell, Concordance CDs; Pirates Brand key docs binder</t>
  </si>
  <si>
    <t xml:space="preserve">Pirate, Babyganics, Bay City, Chiem, Cheim, Tagged</t>
  </si>
  <si>
    <t xml:space="preserve">Flagged Issues row 282</t>
  </si>
  <si>
    <t xml:space="preserve">R102282377</t>
  </si>
  <si>
    <t xml:space="preserve">Bay City, Aleah</t>
  </si>
  <si>
    <t xml:space="preserve">Bay city underwritting info, workers comp, gen corresponding folders; Aleah Paron mail redwell, espinoza research folder, misc research redwell</t>
  </si>
  <si>
    <t xml:space="preserve">Aleah, Bay City, Paron</t>
  </si>
  <si>
    <t xml:space="preserve">Flagged Issues row 283</t>
  </si>
  <si>
    <t xml:space="preserve">R102282378</t>
  </si>
  <si>
    <t xml:space="preserve">Aleah Tagged</t>
  </si>
  <si>
    <t xml:space="preserve">Bay city - SL folder, Tricity Prod Redwell; Aleah misc research redwell, Roman + Williams research redwell, newport redwell; Tagged depo ex binder, hearing binder, MOT to stay binder</t>
  </si>
  <si>
    <t xml:space="preserve">Aleah, Bay City, Tagged</t>
  </si>
  <si>
    <t xml:space="preserve">Flagged Issues row 284</t>
  </si>
  <si>
    <t xml:space="preserve">R102282379</t>
  </si>
  <si>
    <t xml:space="preserve">USI - Bay City</t>
  </si>
  <si>
    <t xml:space="preserve">Tagged- Goldenberg info binder; USI- Bay City word docs redwell, st. francis #2 folder, docs for mediation binder, spreadsheets folder, production binder, selected docs binder, doc production binder, admiral prod complaints ex: redwell</t>
  </si>
  <si>
    <t xml:space="preserve">Bay City, Golden, Goldenberg, Tagged</t>
  </si>
  <si>
    <t xml:space="preserve">Flagged Issues row 285</t>
  </si>
  <si>
    <t xml:space="preserve">R102282380</t>
  </si>
  <si>
    <t xml:space="preserve">Tagged motion to compel binder; Bay City pleadings redwell, correspondence folder, discovery folder, pleadsings vol. 2 folder, pleading folder, administrative folder; Arctic Zero stock docs binder; Art.com motion to seal binder,; Evidentiary Proffer Binder</t>
  </si>
  <si>
    <t xml:space="preserve">Arctic, Bay City, Tagged, Art.com</t>
  </si>
  <si>
    <t xml:space="preserve">Flagged Issues row 286</t>
  </si>
  <si>
    <t xml:space="preserve">Environmental breif binder, Aleah motion binder, Pirates Brand doc notes binder, Sequel Natural key docs binder, BHB v. GMP Hawaii Arbitration Ex binder, Davis trial prep binder, York misc research,; Art.com Fully-Breifed TRO mot binder, Skinny Girl survey results redwell, Nulo misc folders &amp; petfood bags sample, VMG misc folders, Wonderful misc folder, Dillon Candy Prodcut packaging samples, Logos, CD's,; Pirates Rule 11 docs binder + Mot Binder, Beech Nut opinion Binder, Sequel Naturals working binder</t>
  </si>
  <si>
    <t xml:space="preserve">Aleah, Davis, Pirate, Beech, Sequel, Nulo, VMG, Art.com, Skinny Girl</t>
  </si>
  <si>
    <t xml:space="preserve">Box # also listed at Matters + Records row 69</t>
  </si>
  <si>
    <t xml:space="preserve">Flagged Issues row 288</t>
  </si>
  <si>
    <t xml:space="preserve">R101339110</t>
  </si>
  <si>
    <t xml:space="preserve">2017 Admin Mail - SS Files</t>
  </si>
  <si>
    <t xml:space="preserve">Misc Admin Mail from Sarah's files</t>
  </si>
  <si>
    <t xml:space="preserve">Flagged Issues row 291</t>
  </si>
  <si>
    <t xml:space="preserve">Change</t>
  </si>
  <si>
    <t xml:space="preserve">Client and matter names filled down to every box on the Matters + Records tab (previously only on the first row of each matter).</t>
  </si>
  <si>
    <t xml:space="preserve">Both original tabs combined into one Box Register, one row per box.</t>
  </si>
  <si>
    <t xml:space="preserve">Rows with no box # that only continued the previous box (blank or "Previous entry continued") merged into that box's Contents.</t>
  </si>
  <si>
    <t xml:space="preserve">Cells listing several box numbers split into one row per box.</t>
  </si>
  <si>
    <t xml:space="preserve">Box numbers kept as written otherwise; any box # with the wrong number of digits or listed more than once is flagged in Issues to Resolve, not changed.</t>
  </si>
  <si>
    <t xml:space="preserve">Flagged Issues row 6: removed sequence prefix from '1-R102354634'</t>
  </si>
  <si>
    <t xml:space="preserve">Flagged Issues row 7: removed sequence prefix from '2-R102354633'</t>
  </si>
  <si>
    <t xml:space="preserve">Flagged Issues row 8: removed sequence prefix from '3-R102354632'</t>
  </si>
  <si>
    <t xml:space="preserve">Flagged Issues row 9: removed sequence prefix from '4-R102354631'</t>
  </si>
  <si>
    <t xml:space="preserve">Flagged Issues row 10: removed sequence prefix from '5-R102354630'</t>
  </si>
  <si>
    <t xml:space="preserve">Flagged Issues row 11: removed sequence prefix from '6-R102354629'</t>
  </si>
  <si>
    <t xml:space="preserve">Flagged Issues row 12: removed sequence prefix from '7-R102354628'</t>
  </si>
  <si>
    <t xml:space="preserve">Flagged Issues row 13: removed sequence prefix from '8-R102354627'</t>
  </si>
  <si>
    <t xml:space="preserve">Flagged Issues row 155: continuation text merged into box R102648156</t>
  </si>
  <si>
    <t xml:space="preserve">Flagged Issues row 156: continuation text merged into box R102648156</t>
  </si>
  <si>
    <t xml:space="preserve">Flagged Issues row 157: continuation text merged into box R102648156</t>
  </si>
  <si>
    <t xml:space="preserve">Flagged Issues row 158: continuation text merged into box R102648156</t>
  </si>
  <si>
    <t xml:space="preserve">Flagged Issues row 159: continuation text merged into box R102648156</t>
  </si>
  <si>
    <t xml:space="preserve">Flagged Issues row 203: continuation text merged into box R102354494</t>
  </si>
  <si>
    <t xml:space="preserve">Flagged Issues row 204: continuation text merged into box R102354494</t>
  </si>
  <si>
    <t xml:space="preserve">Flagged Issues row 206: continuation text merged into box R102354493</t>
  </si>
  <si>
    <t xml:space="preserve">Flagged Issues row 209: continuation text merged into box R102354491</t>
  </si>
  <si>
    <t xml:space="preserve">Flagged Issues row 220: continuation text merged into box R102153871</t>
  </si>
  <si>
    <t xml:space="preserve">Flagged Issues row 222: continuation text merged into box R102153879</t>
  </si>
  <si>
    <t xml:space="preserve">Flagged Issues row 248: continuation text merged into box R102266948</t>
  </si>
  <si>
    <t xml:space="preserve">Flagged Issues row 250: continuation text merged into box R102266949</t>
  </si>
  <si>
    <t xml:space="preserve">Flagged Issues row 261: continuation text merged into box R102266959</t>
  </si>
  <si>
    <t xml:space="preserve">Flagged Issues row 287: continuation text merged into box R102282380</t>
  </si>
  <si>
    <t xml:space="preserve">Flagged Issues row 289: continuation text merged into box R102282381</t>
  </si>
  <si>
    <t xml:space="preserve">Flagged Issues row 290: continuation text merged into box R102282381</t>
  </si>
  <si>
    <t xml:space="preserve">Flagged Issues row 131: removed exact duplicate of box R102354588</t>
  </si>
  <si>
    <t xml:space="preserve">Flagged Issues row 132: removed exact duplicate of box R102354536</t>
  </si>
  <si>
    <t xml:space="preserve">Flagged Issues row 133: removed exact duplicate of box R102354535</t>
  </si>
  <si>
    <t xml:space="preserve">Flagged Issues row 134: removed exact duplicate of box R102354534</t>
  </si>
  <si>
    <t xml:space="preserve">Flagged Issues row 135: removed exact duplicate of box R102354518</t>
  </si>
  <si>
    <t xml:space="preserve">Client Name</t>
  </si>
  <si>
    <t xml:space="preserve">Matter Name</t>
  </si>
  <si>
    <t xml:space="preserve">Closed Date</t>
  </si>
  <si>
    <t xml:space="preserve">Matter Status</t>
  </si>
  <si>
    <t xml:space="preserve">Offsite Storage (Y/N)</t>
  </si>
  <si>
    <t xml:space="preserve">Box Skewer #</t>
  </si>
  <si>
    <t xml:space="preserve">N/a</t>
  </si>
  <si>
    <t xml:space="preserve">Yes</t>
  </si>
  <si>
    <t xml:space="preserve">R102648295 </t>
  </si>
  <si>
    <t xml:space="preserve">Stephen Horn Insurance Services  - Employment - 12695</t>
  </si>
  <si>
    <t xml:space="preserve">Skew Number</t>
  </si>
  <si>
    <t xml:space="preserve">Box Contents</t>
  </si>
  <si>
    <t xml:space="preserve">1-R102354634</t>
  </si>
  <si>
    <t xml:space="preserve">2-R102354633</t>
  </si>
  <si>
    <t xml:space="preserve">3-R102354632</t>
  </si>
  <si>
    <t xml:space="preserve">4-R102354631</t>
  </si>
  <si>
    <t xml:space="preserve">5-R102354630</t>
  </si>
  <si>
    <t xml:space="preserve">6-R102354629</t>
  </si>
  <si>
    <t xml:space="preserve">7-R102354628</t>
  </si>
  <si>
    <t xml:space="preserve">8-R102354627</t>
  </si>
  <si>
    <t xml:space="preserve">Redwells </t>
  </si>
  <si>
    <t xml:space="preserve">To be Indexed- do not move </t>
  </si>
  <si>
    <t xml:space="preserve">Wortlers Comp. cases box 2 of 2 </t>
  </si>
  <si>
    <t xml:space="preserve">Misc </t>
  </si>
  <si>
    <t xml:space="preserve"> Misc Docs</t>
  </si>
  <si>
    <t xml:space="preserve">V. Tong Files </t>
  </si>
  <si>
    <t xml:space="preserve">Misc. Files from VT Office </t>
  </si>
  <si>
    <t xml:space="preserve">Keri Findley Files </t>
  </si>
  <si>
    <t xml:space="preserve">2016 Legal Mail </t>
  </si>
  <si>
    <t xml:space="preserve">1.Cases Cited in Def's MTQ Subpoenas to HUD &amp; CLA and MTC Responses to FROGS Binder - Single, Gloria vs. Congregational Retirment Community 2. Defendant's Motion to Quash Subpoenas to HUD &amp;CLA Hearing Binders; Defendant's Motion to Compel Intital &amp; Further Responses to FROGS Hearing Binder 3. Defendant's Motion to Dismiss First Amended Complaint Binder - Anderson v. Mark Ghaly 4.Cases Sided in re Defendant's MTD FAC Binder  - Anderson v. Mark Ghaly. 5. Gloria Single v. Congregational Ex Parte Application to Continue Summary Judgement Hearing Binde r</t>
  </si>
  <si>
    <t xml:space="preserve">Misc Client Docs From Front Desk </t>
  </si>
  <si>
    <t xml:space="preserve">Front Desk files- Stone Social Media - Stone </t>
  </si>
  <si>
    <t xml:space="preserve">Front Desk Files- Orion Exhibits - Orion </t>
  </si>
  <si>
    <t xml:space="preserve">Front Desk Files- Stone Ex. Depo - Stone </t>
  </si>
  <si>
    <t xml:space="preserve">Returned to shipper on  via Fedex International </t>
  </si>
  <si>
    <t xml:space="preserve">"Corporate Files" - Krisha's Desk Files </t>
  </si>
  <si>
    <t xml:space="preserve">1 Box:
- Misc docs from Steeped/Special Tea, M&amp; C Organics, and Homerun Inc. </t>
  </si>
  <si>
    <t xml:space="preserve">Elliot Mail 2019 </t>
  </si>
  <si>
    <t xml:space="preserve">1 Box
Research Reports:
-Revive, Natures Bakery, Oat Mega, Skinny: Pt 1 &amp; 2
Redwells:
-New Nutrition Facts Panels 
-Humane Corp Docs
-Pofential Clients  </t>
  </si>
  <si>
    <t xml:space="preserve">Legal Mail - 2018/2019 </t>
  </si>
  <si>
    <t xml:space="preserve">Elliot Box (1) - R102648309 
Box (3) - R102648303</t>
  </si>
  <si>
    <t xml:space="preserve">Box #1: ELLIOT
- Redwelds -- Disclosure Statement, Law 360 Articles re. Proceedings, Other Dispute Cases, Elliot Misc: Cases, Motion to Reconsider: Order Approving Next Era Termination Fee
- Manila Folders -- Professional Fees, Deadlines &amp; Hearings Fee Committee re. Final Fee Applications, Misc. Notebook, Godfrey &amp; Kahn Memo re. Fee Committee Process, Conflict Research, Fee Committee Plan, Certification of Counsel re. Motion to Appoint, Elliot Motion, Final T-Side Fees Awards, Busy Beaver, Carroll, Kravitz: Cross Exam, Legal Pad: Floor, FV-VCC Selection, Research: re. Conflicts (x2), Transcripts
Box #3: NULO / NATURE'S BAKERY / SMALL V. KELLET
Small v. Kellet  
- Misc. Loose Docs, Legal Pad Notes, Estate Dispute
- Misc. Copies/Case Folders, Overview, KCM Legal
NULO
- ABC7, Backup, Misc. Manila Folders (x3)
NATURE'S BAKERY
- NB Dispute Folders (x2)
- NB Misc. 
</t>
  </si>
  <si>
    <t xml:space="preserve">Correspondence Binders for Bicent </t>
  </si>
  <si>
    <t xml:space="preserve">Grenade Envelope : ERC v. Grenade
Phyllis Dunwoody 8/10/2017 TSG Video Transcript
Christian Heptinstall 8/11/2017 TSG Video Transcript
Deposition of Greg Madsen 8/9/2017 TSG Video Transcript 
Rosenblood: Misc. Gerard Fox Law v. Rosenblood documents 
Bibeauth: Moloc v. Bobeault Moloco's RFPD #1 Docs Produced in Reponse to White RFPD CD. 
Amie Stanley Binder: transcript of Stanley v. Jacqueline Burks 2/16/18 
                         </t>
  </si>
  <si>
    <t xml:space="preserve">Box (1) - R102648311
Box (2) - R102648310
Box (3) - R102648299</t>
  </si>
  <si>
    <t xml:space="preserve">Sunny D Transcripts </t>
  </si>
  <si>
    <t xml:space="preserve">Legal Mail - 2018/2019  </t>
  </si>
  <si>
    <t xml:space="preserve"> (9/28/2019 - 12/3/2018)</t>
  </si>
  <si>
    <t xml:space="preserve">Transcripts: Artic Zero, Orion, Asbury, Smashmallow </t>
  </si>
  <si>
    <t xml:space="preserve">Orion : 
Videotaped Deposition of David Anderson Volume II - 11/28/2018 (TSG)
Gramercy Bakery v. Smashmallow 
- Deposition of Gramercy Bakery through it's person most knowledgable James Minidus -01/04/2019 (TSG)
- Production of Documents of Annabelle Candy Company - 01/07/2019 
Artic Zero v. Aspen Hills 
- Videotaped Deposition of Nancy Jo Lundeen -12/04/2018
Asbury v. Factset 
- Reporter's Transcript of Proceeding - 12/21/2018
</t>
  </si>
  <si>
    <t xml:space="preserve"> (1/23/2017 - 2/13/2019)</t>
  </si>
  <si>
    <t xml:space="preserve">Box 1 of 3 - Lyell &amp; eCurrency </t>
  </si>
  <si>
    <t xml:space="preserve">BNY Mellon v. Lyell Wealth Wealth Management Jury Instruction Binder 
Eat Real Food LLC (DBA Culina) - Series Seed Financing - May 10 2018
Fed Project/Other Redwell
Commuications, Cross Compliant, CA Statues, Irish Law, Demurr, Derivative  Redwell 
M&amp;C emails - lyell; lyell/Chron, Lyell-KS, Lyell - M/C + work Product Redwell 
</t>
  </si>
  <si>
    <t xml:space="preserve">R102354475, sup- Neo Merilian</t>
  </si>
  <si>
    <t xml:space="preserve">crowdfunding file, bluesky file, del llc code file, CA llc code file, series A financing for corp. financing ref, black acorn venture-client docs Redwell, OUAF corporate doc Redwell</t>
  </si>
  <si>
    <t xml:space="preserve">Previous entry continued</t>
  </si>
  <si>
    <t xml:space="preserve">Native cos Corporate dox Redwell, NB corporate doc Redwell, Folder "ever after" TM "Nulo" TM, "Green Joy", urban remedy notes, Gottfried recall notes, Folders: Lord Nut; Peanuts</t>
  </si>
  <si>
    <t xml:space="preserve">Dave Peters: eat fried veggiesm emmer &amp; co - Jesse Solomon, Ladera Foods - Brian Tetrud, Misc Notes Folder, Tam Tam Bora</t>
  </si>
  <si>
    <t xml:space="preserve">B&amp;G: Cream of Wheat Redwell, Rustic Bakery Redwell bylaws TM AA, Redwell for "search results for skinny", amplify Redwell (includes paqui, skinnycakes, tyrrells)</t>
  </si>
  <si>
    <t xml:space="preserve">amplify corporate redwell, OUAF corp. Redwell, OUAF sereies A 3rd close Redwell</t>
  </si>
  <si>
    <t xml:space="preserve">Chameleon Corp Redwell, Be Well Corp Redwell, crowdfunding final rule, organic farming manual, taste what youre missing book one entrepreneur's take on leadership,</t>
  </si>
  <si>
    <t xml:space="preserve"> social media &amp; self awareness book, thwarting consumer choice, cooking up a buisness, nine principles of litigation &amp; life, black's law dictionary</t>
  </si>
  <si>
    <t xml:space="preserve">RF - Offsite - Box 5 of 5 </t>
  </si>
  <si>
    <t xml:space="preserve">JNH Office </t>
  </si>
  <si>
    <t xml:space="preserve">Taylor's Office </t>
  </si>
  <si>
    <t xml:space="preserve">Folder - Noah's "Trial Binder?"  tabs etc.; WPP Deposition Modules Binder;  Master Chronology III. Covid Lease Dispute binder"</t>
  </si>
  <si>
    <t xml:space="preserve">B &amp; G </t>
  </si>
  <si>
    <t xml:space="preserve">Settlement Statement, key cases, key docs, opposition to motio9n to vacate arrest warrant, settlement material, motion to vacate arrest warrant, misc docs; Pirate 2013 market overview, </t>
  </si>
  <si>
    <t xml:space="preserve">1927 Opp Docs, rule ll opp, B&amp;G court decision binder</t>
  </si>
  <si>
    <t xml:space="preserve">NFA chronology, Demurrer Binder, Kass's Mediation Breif, Hedge fund litigation binder, Motion to compel 3 Hearing Binder, misc docs; Babyganics product testing binder, BG- Jones Docs</t>
  </si>
  <si>
    <t xml:space="preserve">Plaintiffs confidential mediation statement binder</t>
  </si>
  <si>
    <t xml:space="preserve">Beech Nut opinion Binder, Breifs Binder; Narbat Chronology Binder, mediation binder, misc notes, redwells; PLV Misc docs, redwell, binder; Pirates market overview binder; Tagged misc docs, redwell, binder</t>
  </si>
  <si>
    <t xml:space="preserve">Foster Farms ALDF redwell, folders, water reports; Sidecar sidecar docs, binder; Eat24 Docs Binder; Bio-reference Laboratories INC misc docs Redwell</t>
  </si>
  <si>
    <t xml:space="preserve">Skinnypop misc redwell, research, folders; GMP Hawaii Chron Binder, working binder; Art.com manual binder; Natures Baker research binder, Hot Docs Binder, Mediation Binder, bio Folder, Artciles Folder</t>
  </si>
  <si>
    <t xml:space="preserve">finanual folder, talking points folder</t>
  </si>
  <si>
    <t xml:space="preserve">Charley case research; Skinnypop notepad; Aleah notepad; Chiem final prep notepad; Yunhee Yoo working Binder, arbitration binder, corresponding folders, case research folder, notepads; KCM sale process binder, notepads</t>
  </si>
  <si>
    <t xml:space="preserve">Babyganics case research folders redwells, notepads</t>
  </si>
  <si>
    <t xml:space="preserve">Misc   </t>
  </si>
  <si>
    <t xml:space="preserve">Tagged motion to compel binder; Bay City pleadings redwell, correspondence folder, discovery folder, pleadsings vol. 2 folder, pleading folder, administrative folder; Arctic Zero stock docs binder; Art.com motion to seal binder,</t>
  </si>
  <si>
    <t xml:space="preserve">Evidentiary Proffer Binder</t>
  </si>
  <si>
    <t xml:space="preserve">Environmental breif binder, Aleah motion binder, Pirates Brand doc notes binder, Sequel Natural key docs binder, BHB v. GMP Hawaii Arbitration Ex binder, Davis trial prep binder, York misc research, </t>
  </si>
  <si>
    <t xml:space="preserve">Art.com Fully-Breifed TRO mot binder, Skinny Girl survey results redwell, Nulo misc folders &amp; petfood bags sample, VMG misc folders, Wonderful misc folder, Dillon Candy Prodcut packaging samples, Logos, CD's,</t>
  </si>
  <si>
    <t xml:space="preserve">Pirates Rule 11 docs binder + Mot Binder, Beech Nut opinion Binder, Sequel Naturals working binder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</si>
</sst>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yy"/>
    <numFmt numFmtId="166" formatCode="yyyy\-mm\-dd\ h:mm:ss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C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  <col collapsed="false" customWidth="true" hidden="false" outlineLevel="0" max="2" min="2" style="0" width="10"/>
    <col collapsed="false" customWidth="true" hidden="false" outlineLevel="0" max="3" min="3" style="0" width="5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3" t="s">
        <v>7</v>
      </c>
    </row>
    <row r="12" customFormat="false" ht="23.85" hidden="false" customHeight="false" outlineLevel="0" collapsed="false">
      <c r="A12" s="2" t="s">
        <v>8</v>
      </c>
    </row>
    <row r="13" customFormat="false" ht="23.85" hidden="false" customHeight="false" outlineLevel="0" collapsed="false">
      <c r="A13" s="2" t="s">
        <v>9</v>
      </c>
    </row>
    <row r="14" customFormat="false" ht="23.8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/>
    </row>
    <row r="19" customFormat="false" ht="15" hidden="false" customHeight="false" outlineLevel="0" collapsed="false">
      <c r="A19" s="3" t="s">
        <v>14</v>
      </c>
      <c r="B19" s="4" t="n">
        <v>30</v>
      </c>
      <c r="C19" s="5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20"/>
    <col collapsed="false" customWidth="true" hidden="false" outlineLevel="0" max="7" min="6" style="0" width="12"/>
    <col collapsed="false" customWidth="true" hidden="false" outlineLevel="0" max="9" min="8" style="0" width="13"/>
    <col collapsed="false" customWidth="true" hidden="false" outlineLevel="0" max="10" min="10" style="0" width="18"/>
    <col collapsed="false" customWidth="true" hidden="false" outlineLevel="0" max="11" min="11" style="0" width="12"/>
    <col collapsed="false" customWidth="true" hidden="false" outlineLevel="0" max="12" min="12" style="0" width="16"/>
    <col collapsed="false" customWidth="true" hidden="false" outlineLevel="0" max="13" min="13" style="0" width="36"/>
  </cols>
  <sheetData>
    <row r="1" customFormat="false" ht="30" hidden="false" customHeight="true" outlineLevel="0" collapsed="false">
      <c r="A1" s="6" t="s">
        <v>16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21</v>
      </c>
      <c r="G1" s="6" t="s">
        <v>22</v>
      </c>
      <c r="H1" s="6" t="s">
        <v>23</v>
      </c>
      <c r="I1" s="6" t="s">
        <v>24</v>
      </c>
      <c r="J1" s="6" t="s">
        <v>25</v>
      </c>
      <c r="K1" s="6" t="s">
        <v>26</v>
      </c>
      <c r="L1" s="6" t="s">
        <v>27</v>
      </c>
      <c r="M1" s="6" t="s">
        <v>28</v>
      </c>
    </row>
    <row r="2" customFormat="false" ht="23.85" hidden="false" customHeight="false" outlineLevel="0" collapsed="false">
      <c r="A2" s="7" t="s">
        <v>29</v>
      </c>
      <c r="B2" s="7" t="s">
        <v>30</v>
      </c>
      <c r="C2" s="7" t="s">
        <v>31</v>
      </c>
      <c r="D2" s="7" t="n">
        <f aca="false">COUNTIFS('Box Register'!$E:$E,$A2,'Box Register'!$F:$F,$B2)</f>
        <v>54</v>
      </c>
      <c r="E2" s="8"/>
      <c r="F2" s="8" t="s">
        <v>32</v>
      </c>
      <c r="G2" s="9"/>
      <c r="H2" s="9"/>
      <c r="I2" s="10" t="str">
        <f aca="false">IF(H2="","",H2+'How to Use'!$B$19)</f>
        <v/>
      </c>
      <c r="J2" s="8" t="s">
        <v>32</v>
      </c>
      <c r="K2" s="9"/>
      <c r="L2" s="8"/>
      <c r="M2" s="8"/>
    </row>
    <row r="3" customFormat="false" ht="15" hidden="false" customHeight="false" outlineLevel="0" collapsed="false">
      <c r="A3" s="7" t="s">
        <v>33</v>
      </c>
      <c r="B3" s="7" t="s">
        <v>34</v>
      </c>
      <c r="C3" s="7" t="s">
        <v>35</v>
      </c>
      <c r="D3" s="7" t="n">
        <f aca="false">COUNTIFS('Box Register'!$E:$E,$A3,'Box Register'!$F:$F,$B3)</f>
        <v>5</v>
      </c>
      <c r="E3" s="8"/>
      <c r="F3" s="8" t="s">
        <v>32</v>
      </c>
      <c r="G3" s="9"/>
      <c r="H3" s="9"/>
      <c r="I3" s="10" t="str">
        <f aca="false">IF(H3="","",H3+'How to Use'!$B$19)</f>
        <v/>
      </c>
      <c r="J3" s="8" t="s">
        <v>32</v>
      </c>
      <c r="K3" s="9"/>
      <c r="L3" s="8"/>
      <c r="M3" s="8"/>
    </row>
    <row r="4" customFormat="false" ht="15" hidden="false" customHeight="false" outlineLevel="0" collapsed="false">
      <c r="A4" s="7" t="s">
        <v>36</v>
      </c>
      <c r="B4" s="7" t="s">
        <v>37</v>
      </c>
      <c r="C4" s="7" t="s">
        <v>38</v>
      </c>
      <c r="D4" s="7" t="n">
        <f aca="false">COUNTIFS('Box Register'!$E:$E,$A4,'Box Register'!$F:$F,$B4)</f>
        <v>3</v>
      </c>
      <c r="E4" s="8"/>
      <c r="F4" s="8" t="s">
        <v>32</v>
      </c>
      <c r="G4" s="9"/>
      <c r="H4" s="9"/>
      <c r="I4" s="10" t="str">
        <f aca="false">IF(H4="","",H4+'How to Use'!$B$19)</f>
        <v/>
      </c>
      <c r="J4" s="8" t="s">
        <v>32</v>
      </c>
      <c r="K4" s="9"/>
      <c r="L4" s="8"/>
      <c r="M4" s="8"/>
    </row>
    <row r="5" customFormat="false" ht="15" hidden="false" customHeight="false" outlineLevel="0" collapsed="false">
      <c r="A5" s="7" t="s">
        <v>39</v>
      </c>
      <c r="B5" s="7" t="s">
        <v>40</v>
      </c>
      <c r="C5" s="7" t="s">
        <v>41</v>
      </c>
      <c r="D5" s="7" t="n">
        <f aca="false">COUNTIFS('Box Register'!$E:$E,$A5,'Box Register'!$F:$F,$B5)</f>
        <v>1</v>
      </c>
      <c r="E5" s="8"/>
      <c r="F5" s="8" t="s">
        <v>32</v>
      </c>
      <c r="G5" s="9"/>
      <c r="H5" s="9"/>
      <c r="I5" s="10" t="str">
        <f aca="false">IF(H5="","",H5+'How to Use'!$B$19)</f>
        <v/>
      </c>
      <c r="J5" s="8" t="s">
        <v>32</v>
      </c>
      <c r="K5" s="9"/>
      <c r="L5" s="8"/>
      <c r="M5" s="8"/>
    </row>
    <row r="6" customFormat="false" ht="15" hidden="false" customHeight="false" outlineLevel="0" collapsed="false">
      <c r="A6" s="7" t="s">
        <v>42</v>
      </c>
      <c r="B6" s="7" t="s">
        <v>43</v>
      </c>
      <c r="C6" s="7" t="s">
        <v>44</v>
      </c>
      <c r="D6" s="7" t="n">
        <f aca="false">COUNTIFS('Box Register'!$E:$E,$A6,'Box Register'!$F:$F,$B6)</f>
        <v>3</v>
      </c>
      <c r="E6" s="8"/>
      <c r="F6" s="8" t="s">
        <v>32</v>
      </c>
      <c r="G6" s="9"/>
      <c r="H6" s="9"/>
      <c r="I6" s="10" t="str">
        <f aca="false">IF(H6="","",H6+'How to Use'!$B$19)</f>
        <v/>
      </c>
      <c r="J6" s="8" t="s">
        <v>32</v>
      </c>
      <c r="K6" s="9"/>
      <c r="L6" s="8"/>
      <c r="M6" s="8"/>
    </row>
    <row r="7" customFormat="false" ht="15" hidden="false" customHeight="false" outlineLevel="0" collapsed="false">
      <c r="A7" s="7" t="s">
        <v>45</v>
      </c>
      <c r="B7" s="7" t="s">
        <v>46</v>
      </c>
      <c r="C7" s="7" t="s">
        <v>47</v>
      </c>
      <c r="D7" s="7" t="n">
        <f aca="false">COUNTIFS('Box Register'!$E:$E,$A7,'Box Register'!$F:$F,$B7)</f>
        <v>13</v>
      </c>
      <c r="E7" s="8"/>
      <c r="F7" s="8" t="s">
        <v>32</v>
      </c>
      <c r="G7" s="9"/>
      <c r="H7" s="9"/>
      <c r="I7" s="10" t="str">
        <f aca="false">IF(H7="","",H7+'How to Use'!$B$19)</f>
        <v/>
      </c>
      <c r="J7" s="8" t="s">
        <v>32</v>
      </c>
      <c r="K7" s="9"/>
      <c r="L7" s="8"/>
      <c r="M7" s="8"/>
    </row>
    <row r="8" customFormat="false" ht="23.85" hidden="false" customHeight="false" outlineLevel="0" collapsed="false">
      <c r="A8" s="7" t="s">
        <v>48</v>
      </c>
      <c r="B8" s="7" t="s">
        <v>49</v>
      </c>
      <c r="C8" s="7" t="s">
        <v>50</v>
      </c>
      <c r="D8" s="7" t="n">
        <f aca="false">COUNTIFS('Box Register'!$E:$E,$A8,'Box Register'!$F:$F,$B8)</f>
        <v>7</v>
      </c>
      <c r="E8" s="8"/>
      <c r="F8" s="8" t="s">
        <v>32</v>
      </c>
      <c r="G8" s="9"/>
      <c r="H8" s="9"/>
      <c r="I8" s="10" t="str">
        <f aca="false">IF(H8="","",H8+'How to Use'!$B$19)</f>
        <v/>
      </c>
      <c r="J8" s="8" t="s">
        <v>32</v>
      </c>
      <c r="K8" s="9"/>
      <c r="L8" s="8"/>
      <c r="M8" s="8"/>
    </row>
    <row r="9" customFormat="false" ht="15" hidden="false" customHeight="false" outlineLevel="0" collapsed="false">
      <c r="A9" s="7" t="s">
        <v>51</v>
      </c>
      <c r="B9" s="7" t="s">
        <v>52</v>
      </c>
      <c r="C9" s="7" t="s">
        <v>53</v>
      </c>
      <c r="D9" s="7" t="n">
        <f aca="false">COUNTIFS('Box Register'!$E:$E,$A9,'Box Register'!$F:$F,$B9)</f>
        <v>2</v>
      </c>
      <c r="E9" s="8"/>
      <c r="F9" s="8" t="s">
        <v>32</v>
      </c>
      <c r="G9" s="9"/>
      <c r="H9" s="9"/>
      <c r="I9" s="10" t="str">
        <f aca="false">IF(H9="","",H9+'How to Use'!$B$19)</f>
        <v/>
      </c>
      <c r="J9" s="8" t="s">
        <v>32</v>
      </c>
      <c r="K9" s="9"/>
      <c r="L9" s="8"/>
      <c r="M9" s="8"/>
    </row>
    <row r="10" customFormat="false" ht="15" hidden="false" customHeight="false" outlineLevel="0" collapsed="false">
      <c r="A10" s="7" t="s">
        <v>54</v>
      </c>
      <c r="B10" s="7" t="s">
        <v>54</v>
      </c>
      <c r="C10" s="7"/>
      <c r="D10" s="7" t="n">
        <f aca="false">COUNTIFS('Box Register'!$E:$E,$A10,'Box Register'!$F:$F,$B10)</f>
        <v>2</v>
      </c>
      <c r="E10" s="8"/>
      <c r="F10" s="8" t="s">
        <v>32</v>
      </c>
      <c r="G10" s="9"/>
      <c r="H10" s="9"/>
      <c r="I10" s="10" t="str">
        <f aca="false">IF(H10="","",H10+'How to Use'!$B$19)</f>
        <v/>
      </c>
      <c r="J10" s="8" t="s">
        <v>32</v>
      </c>
      <c r="K10" s="9"/>
      <c r="L10" s="8"/>
      <c r="M10" s="8" t="s">
        <v>55</v>
      </c>
    </row>
    <row r="11" customFormat="false" ht="23.85" hidden="false" customHeight="false" outlineLevel="0" collapsed="false">
      <c r="A11" s="7" t="s">
        <v>56</v>
      </c>
      <c r="B11" s="7" t="s">
        <v>57</v>
      </c>
      <c r="C11" s="7" t="s">
        <v>58</v>
      </c>
      <c r="D11" s="7" t="n">
        <f aca="false">COUNTIFS('Box Register'!$E:$E,$A11,'Box Register'!$F:$F,$B11)</f>
        <v>3</v>
      </c>
      <c r="E11" s="8"/>
      <c r="F11" s="8" t="s">
        <v>32</v>
      </c>
      <c r="G11" s="9"/>
      <c r="H11" s="9"/>
      <c r="I11" s="10" t="str">
        <f aca="false">IF(H11="","",H11+'How to Use'!$B$19)</f>
        <v/>
      </c>
      <c r="J11" s="8" t="s">
        <v>32</v>
      </c>
      <c r="K11" s="9"/>
      <c r="L11" s="8"/>
      <c r="M11" s="8"/>
    </row>
    <row r="12" customFormat="false" ht="23.85" hidden="false" customHeight="false" outlineLevel="0" collapsed="false">
      <c r="A12" s="7" t="s">
        <v>59</v>
      </c>
      <c r="B12" s="7" t="s">
        <v>60</v>
      </c>
      <c r="C12" s="7" t="s">
        <v>61</v>
      </c>
      <c r="D12" s="7" t="n">
        <f aca="false">COUNTIFS('Box Register'!$E:$E,$A12,'Box Register'!$F:$F,$B12)</f>
        <v>1</v>
      </c>
      <c r="E12" s="8"/>
      <c r="F12" s="8" t="s">
        <v>32</v>
      </c>
      <c r="G12" s="9"/>
      <c r="H12" s="9"/>
      <c r="I12" s="10" t="str">
        <f aca="false">IF(H12="","",H12+'How to Use'!$B$19)</f>
        <v/>
      </c>
      <c r="J12" s="8" t="s">
        <v>32</v>
      </c>
      <c r="K12" s="9"/>
      <c r="L12" s="8"/>
      <c r="M12" s="8"/>
    </row>
    <row r="13" customFormat="false" ht="23.85" hidden="false" customHeight="false" outlineLevel="0" collapsed="false">
      <c r="A13" s="7" t="s">
        <v>62</v>
      </c>
      <c r="B13" s="7" t="s">
        <v>63</v>
      </c>
      <c r="C13" s="7" t="s">
        <v>64</v>
      </c>
      <c r="D13" s="7" t="n">
        <f aca="false">COUNTIFS('Box Register'!$E:$E,$A13,'Box Register'!$F:$F,$B13)</f>
        <v>6</v>
      </c>
      <c r="E13" s="8"/>
      <c r="F13" s="8" t="s">
        <v>32</v>
      </c>
      <c r="G13" s="9"/>
      <c r="H13" s="9"/>
      <c r="I13" s="10" t="str">
        <f aca="false">IF(H13="","",H13+'How to Use'!$B$19)</f>
        <v/>
      </c>
      <c r="J13" s="8" t="s">
        <v>32</v>
      </c>
      <c r="K13" s="9"/>
      <c r="L13" s="8"/>
      <c r="M13" s="8"/>
    </row>
    <row r="14" customFormat="false" ht="15" hidden="false" customHeight="false" outlineLevel="0" collapsed="false">
      <c r="A14" s="8"/>
      <c r="B14" s="8"/>
      <c r="C14" s="8"/>
      <c r="D14" s="7" t="str">
        <f aca="false">IF(B14="","",COUNTIFS('Box Register'!$E:$E,$A14,'Box Register'!$F:$F,$B14))</f>
        <v/>
      </c>
      <c r="E14" s="8"/>
      <c r="F14" s="8"/>
      <c r="G14" s="9"/>
      <c r="H14" s="9"/>
      <c r="I14" s="10" t="str">
        <f aca="false">IF(H14="","",H14+'How to Use'!$B$19)</f>
        <v/>
      </c>
      <c r="J14" s="8"/>
      <c r="K14" s="9"/>
      <c r="L14" s="8"/>
      <c r="M14" s="8"/>
    </row>
    <row r="15" customFormat="false" ht="15" hidden="false" customHeight="false" outlineLevel="0" collapsed="false">
      <c r="A15" s="8"/>
      <c r="B15" s="8"/>
      <c r="C15" s="8"/>
      <c r="D15" s="7" t="str">
        <f aca="false">IF(B15="","",COUNTIFS('Box Register'!$E:$E,$A15,'Box Register'!$F:$F,$B15))</f>
        <v/>
      </c>
      <c r="E15" s="8"/>
      <c r="F15" s="8"/>
      <c r="G15" s="9"/>
      <c r="H15" s="9"/>
      <c r="I15" s="10" t="str">
        <f aca="false">IF(H15="","",H15+'How to Use'!$B$19)</f>
        <v/>
      </c>
      <c r="J15" s="8"/>
      <c r="K15" s="9"/>
      <c r="L15" s="8"/>
      <c r="M15" s="8"/>
    </row>
    <row r="16" customFormat="false" ht="15" hidden="false" customHeight="false" outlineLevel="0" collapsed="false">
      <c r="A16" s="8"/>
      <c r="B16" s="8"/>
      <c r="C16" s="8"/>
      <c r="D16" s="7" t="str">
        <f aca="false">IF(B16="","",COUNTIFS('Box Register'!$E:$E,$A16,'Box Register'!$F:$F,$B16))</f>
        <v/>
      </c>
      <c r="E16" s="8"/>
      <c r="F16" s="8"/>
      <c r="G16" s="9"/>
      <c r="H16" s="9"/>
      <c r="I16" s="10" t="str">
        <f aca="false">IF(H16="","",H16+'How to Use'!$B$19)</f>
        <v/>
      </c>
      <c r="J16" s="8"/>
      <c r="K16" s="9"/>
      <c r="L16" s="8"/>
      <c r="M16" s="8"/>
    </row>
    <row r="17" customFormat="false" ht="15" hidden="false" customHeight="false" outlineLevel="0" collapsed="false">
      <c r="A17" s="8"/>
      <c r="B17" s="8"/>
      <c r="C17" s="8"/>
      <c r="D17" s="7" t="str">
        <f aca="false">IF(B17="","",COUNTIFS('Box Register'!$E:$E,$A17,'Box Register'!$F:$F,$B17))</f>
        <v/>
      </c>
      <c r="E17" s="8"/>
      <c r="F17" s="8"/>
      <c r="G17" s="9"/>
      <c r="H17" s="9"/>
      <c r="I17" s="10" t="str">
        <f aca="false">IF(H17="","",H17+'How to Use'!$B$19)</f>
        <v/>
      </c>
      <c r="J17" s="8"/>
      <c r="K17" s="9"/>
      <c r="L17" s="8"/>
      <c r="M17" s="8"/>
    </row>
    <row r="18" customFormat="false" ht="15" hidden="false" customHeight="false" outlineLevel="0" collapsed="false">
      <c r="A18" s="8"/>
      <c r="B18" s="8"/>
      <c r="C18" s="8"/>
      <c r="D18" s="7" t="str">
        <f aca="false">IF(B18="","",COUNTIFS('Box Register'!$E:$E,$A18,'Box Register'!$F:$F,$B18))</f>
        <v/>
      </c>
      <c r="E18" s="8"/>
      <c r="F18" s="8"/>
      <c r="G18" s="9"/>
      <c r="H18" s="9"/>
      <c r="I18" s="10" t="str">
        <f aca="false">IF(H18="","",H18+'How to Use'!$B$19)</f>
        <v/>
      </c>
      <c r="J18" s="8"/>
      <c r="K18" s="9"/>
      <c r="L18" s="8"/>
      <c r="M18" s="8"/>
    </row>
    <row r="19" customFormat="false" ht="15" hidden="false" customHeight="false" outlineLevel="0" collapsed="false">
      <c r="A19" s="8"/>
      <c r="B19" s="8"/>
      <c r="C19" s="8"/>
      <c r="D19" s="7" t="str">
        <f aca="false">IF(B19="","",COUNTIFS('Box Register'!$E:$E,$A19,'Box Register'!$F:$F,$B19))</f>
        <v/>
      </c>
      <c r="E19" s="8"/>
      <c r="F19" s="8"/>
      <c r="G19" s="9"/>
      <c r="H19" s="9"/>
      <c r="I19" s="10" t="str">
        <f aca="false">IF(H19="","",H19+'How to Use'!$B$19)</f>
        <v/>
      </c>
      <c r="J19" s="8"/>
      <c r="K19" s="9"/>
      <c r="L19" s="8"/>
      <c r="M19" s="8"/>
    </row>
    <row r="20" customFormat="false" ht="15" hidden="false" customHeight="false" outlineLevel="0" collapsed="false">
      <c r="A20" s="8"/>
      <c r="B20" s="8"/>
      <c r="C20" s="8"/>
      <c r="D20" s="7" t="str">
        <f aca="false">IF(B20="","",COUNTIFS('Box Register'!$E:$E,$A20,'Box Register'!$F:$F,$B20))</f>
        <v/>
      </c>
      <c r="E20" s="8"/>
      <c r="F20" s="8"/>
      <c r="G20" s="9"/>
      <c r="H20" s="9"/>
      <c r="I20" s="10" t="str">
        <f aca="false">IF(H20="","",H20+'How to Use'!$B$19)</f>
        <v/>
      </c>
      <c r="J20" s="8"/>
      <c r="K20" s="9"/>
      <c r="L20" s="8"/>
      <c r="M20" s="8"/>
    </row>
    <row r="21" customFormat="false" ht="15" hidden="false" customHeight="false" outlineLevel="0" collapsed="false">
      <c r="A21" s="8"/>
      <c r="B21" s="8"/>
      <c r="C21" s="8"/>
      <c r="D21" s="7" t="str">
        <f aca="false">IF(B21="","",COUNTIFS('Box Register'!$E:$E,$A21,'Box Register'!$F:$F,$B21))</f>
        <v/>
      </c>
      <c r="E21" s="8"/>
      <c r="F21" s="8"/>
      <c r="G21" s="9"/>
      <c r="H21" s="9"/>
      <c r="I21" s="10" t="str">
        <f aca="false">IF(H21="","",H21+'How to Use'!$B$19)</f>
        <v/>
      </c>
      <c r="J21" s="8"/>
      <c r="K21" s="9"/>
      <c r="L21" s="8"/>
      <c r="M21" s="8"/>
    </row>
    <row r="22" customFormat="false" ht="15" hidden="false" customHeight="false" outlineLevel="0" collapsed="false">
      <c r="A22" s="8"/>
      <c r="B22" s="8"/>
      <c r="C22" s="8"/>
      <c r="D22" s="7" t="str">
        <f aca="false">IF(B22="","",COUNTIFS('Box Register'!$E:$E,$A22,'Box Register'!$F:$F,$B22))</f>
        <v/>
      </c>
      <c r="E22" s="8"/>
      <c r="F22" s="8"/>
      <c r="G22" s="9"/>
      <c r="H22" s="9"/>
      <c r="I22" s="10" t="str">
        <f aca="false">IF(H22="","",H22+'How to Use'!$B$19)</f>
        <v/>
      </c>
      <c r="J22" s="8"/>
      <c r="K22" s="9"/>
      <c r="L22" s="8"/>
      <c r="M22" s="8"/>
    </row>
    <row r="23" customFormat="false" ht="15" hidden="false" customHeight="false" outlineLevel="0" collapsed="false">
      <c r="A23" s="8"/>
      <c r="B23" s="8"/>
      <c r="C23" s="8"/>
      <c r="D23" s="7" t="str">
        <f aca="false">IF(B23="","",COUNTIFS('Box Register'!$E:$E,$A23,'Box Register'!$F:$F,$B23))</f>
        <v/>
      </c>
      <c r="E23" s="8"/>
      <c r="F23" s="8"/>
      <c r="G23" s="9"/>
      <c r="H23" s="9"/>
      <c r="I23" s="10" t="str">
        <f aca="false">IF(H23="","",H23+'How to Use'!$B$19)</f>
        <v/>
      </c>
      <c r="J23" s="8"/>
      <c r="K23" s="9"/>
      <c r="L23" s="8"/>
      <c r="M23" s="8"/>
    </row>
    <row r="24" customFormat="false" ht="15" hidden="false" customHeight="false" outlineLevel="0" collapsed="false">
      <c r="A24" s="8"/>
      <c r="B24" s="8"/>
      <c r="C24" s="8"/>
      <c r="D24" s="7" t="str">
        <f aca="false">IF(B24="","",COUNTIFS('Box Register'!$E:$E,$A24,'Box Register'!$F:$F,$B24))</f>
        <v/>
      </c>
      <c r="E24" s="8"/>
      <c r="F24" s="8"/>
      <c r="G24" s="9"/>
      <c r="H24" s="9"/>
      <c r="I24" s="10" t="str">
        <f aca="false">IF(H24="","",H24+'How to Use'!$B$19)</f>
        <v/>
      </c>
      <c r="J24" s="8"/>
      <c r="K24" s="9"/>
      <c r="L24" s="8"/>
      <c r="M24" s="8"/>
    </row>
    <row r="25" customFormat="false" ht="15" hidden="false" customHeight="false" outlineLevel="0" collapsed="false">
      <c r="A25" s="8"/>
      <c r="B25" s="8"/>
      <c r="C25" s="8"/>
      <c r="D25" s="7" t="str">
        <f aca="false">IF(B25="","",COUNTIFS('Box Register'!$E:$E,$A25,'Box Register'!$F:$F,$B25))</f>
        <v/>
      </c>
      <c r="E25" s="8"/>
      <c r="F25" s="8"/>
      <c r="G25" s="9"/>
      <c r="H25" s="9"/>
      <c r="I25" s="10" t="str">
        <f aca="false">IF(H25="","",H25+'How to Use'!$B$19)</f>
        <v/>
      </c>
      <c r="J25" s="8"/>
      <c r="K25" s="9"/>
      <c r="L25" s="8"/>
      <c r="M25" s="8"/>
    </row>
    <row r="26" customFormat="false" ht="15" hidden="false" customHeight="false" outlineLevel="0" collapsed="false">
      <c r="A26" s="8"/>
      <c r="B26" s="8"/>
      <c r="C26" s="8"/>
      <c r="D26" s="7" t="str">
        <f aca="false">IF(B26="","",COUNTIFS('Box Register'!$E:$E,$A26,'Box Register'!$F:$F,$B26))</f>
        <v/>
      </c>
      <c r="E26" s="8"/>
      <c r="F26" s="8"/>
      <c r="G26" s="9"/>
      <c r="H26" s="9"/>
      <c r="I26" s="10" t="str">
        <f aca="false">IF(H26="","",H26+'How to Use'!$B$19)</f>
        <v/>
      </c>
      <c r="J26" s="8"/>
      <c r="K26" s="9"/>
      <c r="L26" s="8"/>
      <c r="M26" s="8"/>
    </row>
    <row r="27" customFormat="false" ht="15" hidden="false" customHeight="false" outlineLevel="0" collapsed="false">
      <c r="A27" s="8"/>
      <c r="B27" s="8"/>
      <c r="C27" s="8"/>
      <c r="D27" s="7" t="str">
        <f aca="false">IF(B27="","",COUNTIFS('Box Register'!$E:$E,$A27,'Box Register'!$F:$F,$B27))</f>
        <v/>
      </c>
      <c r="E27" s="8"/>
      <c r="F27" s="8"/>
      <c r="G27" s="9"/>
      <c r="H27" s="9"/>
      <c r="I27" s="10" t="str">
        <f aca="false">IF(H27="","",H27+'How to Use'!$B$19)</f>
        <v/>
      </c>
      <c r="J27" s="8"/>
      <c r="K27" s="9"/>
      <c r="L27" s="8"/>
      <c r="M27" s="8"/>
    </row>
    <row r="28" customFormat="false" ht="15" hidden="false" customHeight="false" outlineLevel="0" collapsed="false">
      <c r="A28" s="8"/>
      <c r="B28" s="8"/>
      <c r="C28" s="8"/>
      <c r="D28" s="7" t="str">
        <f aca="false">IF(B28="","",COUNTIFS('Box Register'!$E:$E,$A28,'Box Register'!$F:$F,$B28))</f>
        <v/>
      </c>
      <c r="E28" s="8"/>
      <c r="F28" s="8"/>
      <c r="G28" s="9"/>
      <c r="H28" s="9"/>
      <c r="I28" s="10" t="str">
        <f aca="false">IF(H28="","",H28+'How to Use'!$B$19)</f>
        <v/>
      </c>
      <c r="J28" s="8"/>
      <c r="K28" s="9"/>
      <c r="L28" s="8"/>
      <c r="M28" s="8"/>
    </row>
    <row r="29" customFormat="false" ht="15" hidden="false" customHeight="false" outlineLevel="0" collapsed="false">
      <c r="A29" s="8"/>
      <c r="B29" s="8"/>
      <c r="C29" s="8"/>
      <c r="D29" s="7" t="str">
        <f aca="false">IF(B29="","",COUNTIFS('Box Register'!$E:$E,$A29,'Box Register'!$F:$F,$B29))</f>
        <v/>
      </c>
      <c r="E29" s="8"/>
      <c r="F29" s="8"/>
      <c r="G29" s="9"/>
      <c r="H29" s="9"/>
      <c r="I29" s="10" t="str">
        <f aca="false">IF(H29="","",H29+'How to Use'!$B$19)</f>
        <v/>
      </c>
      <c r="J29" s="8"/>
      <c r="K29" s="9"/>
      <c r="L29" s="8"/>
      <c r="M29" s="8"/>
    </row>
    <row r="30" customFormat="false" ht="15" hidden="false" customHeight="false" outlineLevel="0" collapsed="false">
      <c r="A30" s="8"/>
      <c r="B30" s="8"/>
      <c r="C30" s="8"/>
      <c r="D30" s="7" t="str">
        <f aca="false">IF(B30="","",COUNTIFS('Box Register'!$E:$E,$A30,'Box Register'!$F:$F,$B30))</f>
        <v/>
      </c>
      <c r="E30" s="8"/>
      <c r="F30" s="8"/>
      <c r="G30" s="9"/>
      <c r="H30" s="9"/>
      <c r="I30" s="10" t="str">
        <f aca="false">IF(H30="","",H30+'How to Use'!$B$19)</f>
        <v/>
      </c>
      <c r="J30" s="8"/>
      <c r="K30" s="9"/>
      <c r="L30" s="8"/>
      <c r="M30" s="8"/>
    </row>
    <row r="31" customFormat="false" ht="15" hidden="false" customHeight="false" outlineLevel="0" collapsed="false">
      <c r="A31" s="8"/>
      <c r="B31" s="8"/>
      <c r="C31" s="8"/>
      <c r="D31" s="7" t="str">
        <f aca="false">IF(B31="","",COUNTIFS('Box Register'!$E:$E,$A31,'Box Register'!$F:$F,$B31))</f>
        <v/>
      </c>
      <c r="E31" s="8"/>
      <c r="F31" s="8"/>
      <c r="G31" s="9"/>
      <c r="H31" s="9"/>
      <c r="I31" s="10" t="str">
        <f aca="false">IF(H31="","",H31+'How to Use'!$B$19)</f>
        <v/>
      </c>
      <c r="J31" s="8"/>
      <c r="K31" s="9"/>
      <c r="L31" s="8"/>
      <c r="M31" s="8"/>
    </row>
    <row r="32" customFormat="false" ht="15" hidden="false" customHeight="false" outlineLevel="0" collapsed="false">
      <c r="A32" s="8"/>
      <c r="B32" s="8"/>
      <c r="C32" s="8"/>
      <c r="D32" s="7" t="str">
        <f aca="false">IF(B32="","",COUNTIFS('Box Register'!$E:$E,$A32,'Box Register'!$F:$F,$B32))</f>
        <v/>
      </c>
      <c r="E32" s="8"/>
      <c r="F32" s="8"/>
      <c r="G32" s="9"/>
      <c r="H32" s="9"/>
      <c r="I32" s="10" t="str">
        <f aca="false">IF(H32="","",H32+'How to Use'!$B$19)</f>
        <v/>
      </c>
      <c r="J32" s="8"/>
      <c r="K32" s="9"/>
      <c r="L32" s="8"/>
      <c r="M32" s="8"/>
    </row>
    <row r="33" customFormat="false" ht="15" hidden="false" customHeight="false" outlineLevel="0" collapsed="false">
      <c r="A33" s="8"/>
      <c r="B33" s="8"/>
      <c r="C33" s="8"/>
      <c r="D33" s="7" t="str">
        <f aca="false">IF(B33="","",COUNTIFS('Box Register'!$E:$E,$A33,'Box Register'!$F:$F,$B33))</f>
        <v/>
      </c>
      <c r="E33" s="8"/>
      <c r="F33" s="8"/>
      <c r="G33" s="9"/>
      <c r="H33" s="9"/>
      <c r="I33" s="10" t="str">
        <f aca="false">IF(H33="","",H33+'How to Use'!$B$19)</f>
        <v/>
      </c>
      <c r="J33" s="8"/>
      <c r="K33" s="9"/>
      <c r="L33" s="8"/>
      <c r="M33" s="8"/>
    </row>
    <row r="34" customFormat="false" ht="15" hidden="false" customHeight="false" outlineLevel="0" collapsed="false">
      <c r="A34" s="8"/>
      <c r="B34" s="8"/>
      <c r="C34" s="8"/>
      <c r="D34" s="7" t="str">
        <f aca="false">IF(B34="","",COUNTIFS('Box Register'!$E:$E,$A34,'Box Register'!$F:$F,$B34))</f>
        <v/>
      </c>
      <c r="E34" s="8"/>
      <c r="F34" s="8"/>
      <c r="G34" s="9"/>
      <c r="H34" s="9"/>
      <c r="I34" s="10" t="str">
        <f aca="false">IF(H34="","",H34+'How to Use'!$B$19)</f>
        <v/>
      </c>
      <c r="J34" s="8"/>
      <c r="K34" s="9"/>
      <c r="L34" s="8"/>
      <c r="M34" s="8"/>
    </row>
    <row r="35" customFormat="false" ht="15" hidden="false" customHeight="false" outlineLevel="0" collapsed="false">
      <c r="A35" s="8"/>
      <c r="B35" s="8"/>
      <c r="C35" s="8"/>
      <c r="D35" s="7" t="str">
        <f aca="false">IF(B35="","",COUNTIFS('Box Register'!$E:$E,$A35,'Box Register'!$F:$F,$B35))</f>
        <v/>
      </c>
      <c r="E35" s="8"/>
      <c r="F35" s="8"/>
      <c r="G35" s="9"/>
      <c r="H35" s="9"/>
      <c r="I35" s="10" t="str">
        <f aca="false">IF(H35="","",H35+'How to Use'!$B$19)</f>
        <v/>
      </c>
      <c r="J35" s="8"/>
      <c r="K35" s="9"/>
      <c r="L35" s="8"/>
      <c r="M35" s="8"/>
    </row>
    <row r="36" customFormat="false" ht="15" hidden="false" customHeight="false" outlineLevel="0" collapsed="false">
      <c r="A36" s="8"/>
      <c r="B36" s="8"/>
      <c r="C36" s="8"/>
      <c r="D36" s="7" t="str">
        <f aca="false">IF(B36="","",COUNTIFS('Box Register'!$E:$E,$A36,'Box Register'!$F:$F,$B36))</f>
        <v/>
      </c>
      <c r="E36" s="8"/>
      <c r="F36" s="8"/>
      <c r="G36" s="9"/>
      <c r="H36" s="9"/>
      <c r="I36" s="10" t="str">
        <f aca="false">IF(H36="","",H36+'How to Use'!$B$19)</f>
        <v/>
      </c>
      <c r="J36" s="8"/>
      <c r="K36" s="9"/>
      <c r="L36" s="8"/>
      <c r="M36" s="8"/>
    </row>
    <row r="37" customFormat="false" ht="15" hidden="false" customHeight="false" outlineLevel="0" collapsed="false">
      <c r="A37" s="8"/>
      <c r="B37" s="8"/>
      <c r="C37" s="8"/>
      <c r="D37" s="7" t="str">
        <f aca="false">IF(B37="","",COUNTIFS('Box Register'!$E:$E,$A37,'Box Register'!$F:$F,$B37))</f>
        <v/>
      </c>
      <c r="E37" s="8"/>
      <c r="F37" s="8"/>
      <c r="G37" s="9"/>
      <c r="H37" s="9"/>
      <c r="I37" s="10" t="str">
        <f aca="false">IF(H37="","",H37+'How to Use'!$B$19)</f>
        <v/>
      </c>
      <c r="J37" s="8"/>
      <c r="K37" s="9"/>
      <c r="L37" s="8"/>
      <c r="M37" s="8"/>
    </row>
    <row r="38" customFormat="false" ht="15" hidden="false" customHeight="false" outlineLevel="0" collapsed="false">
      <c r="A38" s="8"/>
      <c r="B38" s="8"/>
      <c r="C38" s="8"/>
      <c r="D38" s="7" t="str">
        <f aca="false">IF(B38="","",COUNTIFS('Box Register'!$E:$E,$A38,'Box Register'!$F:$F,$B38))</f>
        <v/>
      </c>
      <c r="E38" s="8"/>
      <c r="F38" s="8"/>
      <c r="G38" s="9"/>
      <c r="H38" s="9"/>
      <c r="I38" s="10" t="str">
        <f aca="false">IF(H38="","",H38+'How to Use'!$B$19)</f>
        <v/>
      </c>
      <c r="J38" s="8"/>
      <c r="K38" s="9"/>
      <c r="L38" s="8"/>
      <c r="M38" s="8"/>
    </row>
    <row r="39" customFormat="false" ht="15" hidden="false" customHeight="false" outlineLevel="0" collapsed="false">
      <c r="A39" s="8"/>
      <c r="B39" s="8"/>
      <c r="C39" s="8"/>
      <c r="D39" s="7" t="str">
        <f aca="false">IF(B39="","",COUNTIFS('Box Register'!$E:$E,$A39,'Box Register'!$F:$F,$B39))</f>
        <v/>
      </c>
      <c r="E39" s="8"/>
      <c r="F39" s="8"/>
      <c r="G39" s="9"/>
      <c r="H39" s="9"/>
      <c r="I39" s="10" t="str">
        <f aca="false">IF(H39="","",H39+'How to Use'!$B$19)</f>
        <v/>
      </c>
      <c r="J39" s="8"/>
      <c r="K39" s="9"/>
      <c r="L39" s="8"/>
      <c r="M39" s="8"/>
    </row>
    <row r="40" customFormat="false" ht="15" hidden="false" customHeight="false" outlineLevel="0" collapsed="false">
      <c r="A40" s="8"/>
      <c r="B40" s="8"/>
      <c r="C40" s="8"/>
      <c r="D40" s="7" t="str">
        <f aca="false">IF(B40="","",COUNTIFS('Box Register'!$E:$E,$A40,'Box Register'!$F:$F,$B40))</f>
        <v/>
      </c>
      <c r="E40" s="8"/>
      <c r="F40" s="8"/>
      <c r="G40" s="9"/>
      <c r="H40" s="9"/>
      <c r="I40" s="10" t="str">
        <f aca="false">IF(H40="","",H40+'How to Use'!$B$19)</f>
        <v/>
      </c>
      <c r="J40" s="8"/>
      <c r="K40" s="9"/>
      <c r="L40" s="8"/>
      <c r="M40" s="8"/>
    </row>
    <row r="41" customFormat="false" ht="15" hidden="false" customHeight="false" outlineLevel="0" collapsed="false">
      <c r="A41" s="8"/>
      <c r="B41" s="8"/>
      <c r="C41" s="8"/>
      <c r="D41" s="7" t="str">
        <f aca="false">IF(B41="","",COUNTIFS('Box Register'!$E:$E,$A41,'Box Register'!$F:$F,$B41))</f>
        <v/>
      </c>
      <c r="E41" s="8"/>
      <c r="F41" s="8"/>
      <c r="G41" s="9"/>
      <c r="H41" s="9"/>
      <c r="I41" s="10" t="str">
        <f aca="false">IF(H41="","",H41+'How to Use'!$B$19)</f>
        <v/>
      </c>
      <c r="J41" s="8"/>
      <c r="K41" s="9"/>
      <c r="L41" s="8"/>
      <c r="M41" s="8"/>
    </row>
    <row r="42" customFormat="false" ht="15" hidden="false" customHeight="false" outlineLevel="0" collapsed="false">
      <c r="A42" s="8"/>
      <c r="B42" s="8"/>
      <c r="C42" s="8"/>
      <c r="D42" s="7" t="str">
        <f aca="false">IF(B42="","",COUNTIFS('Box Register'!$E:$E,$A42,'Box Register'!$F:$F,$B42))</f>
        <v/>
      </c>
      <c r="E42" s="8"/>
      <c r="F42" s="8"/>
      <c r="G42" s="9"/>
      <c r="H42" s="9"/>
      <c r="I42" s="10" t="str">
        <f aca="false">IF(H42="","",H42+'How to Use'!$B$19)</f>
        <v/>
      </c>
      <c r="J42" s="8"/>
      <c r="K42" s="9"/>
      <c r="L42" s="8"/>
      <c r="M42" s="8"/>
    </row>
    <row r="43" customFormat="false" ht="15" hidden="false" customHeight="false" outlineLevel="0" collapsed="false">
      <c r="A43" s="8"/>
      <c r="B43" s="8"/>
      <c r="C43" s="8"/>
      <c r="D43" s="7" t="str">
        <f aca="false">IF(B43="","",COUNTIFS('Box Register'!$E:$E,$A43,'Box Register'!$F:$F,$B43))</f>
        <v/>
      </c>
      <c r="E43" s="8"/>
      <c r="F43" s="8"/>
      <c r="G43" s="9"/>
      <c r="H43" s="9"/>
      <c r="I43" s="10" t="str">
        <f aca="false">IF(H43="","",H43+'How to Use'!$B$19)</f>
        <v/>
      </c>
      <c r="J43" s="8"/>
      <c r="K43" s="9"/>
      <c r="L43" s="8"/>
      <c r="M43" s="8"/>
    </row>
    <row r="44" customFormat="false" ht="15" hidden="false" customHeight="false" outlineLevel="0" collapsed="false">
      <c r="A44" s="8"/>
      <c r="B44" s="8"/>
      <c r="C44" s="8"/>
      <c r="D44" s="7" t="str">
        <f aca="false">IF(B44="","",COUNTIFS('Box Register'!$E:$E,$A44,'Box Register'!$F:$F,$B44))</f>
        <v/>
      </c>
      <c r="E44" s="8"/>
      <c r="F44" s="8"/>
      <c r="G44" s="9"/>
      <c r="H44" s="9"/>
      <c r="I44" s="10" t="str">
        <f aca="false">IF(H44="","",H44+'How to Use'!$B$19)</f>
        <v/>
      </c>
      <c r="J44" s="8"/>
      <c r="K44" s="9"/>
      <c r="L44" s="8"/>
      <c r="M44" s="8"/>
    </row>
    <row r="45" customFormat="false" ht="15" hidden="false" customHeight="false" outlineLevel="0" collapsed="false">
      <c r="A45" s="8"/>
      <c r="B45" s="8"/>
      <c r="C45" s="8"/>
      <c r="D45" s="7" t="str">
        <f aca="false">IF(B45="","",COUNTIFS('Box Register'!$E:$E,$A45,'Box Register'!$F:$F,$B45))</f>
        <v/>
      </c>
      <c r="E45" s="8"/>
      <c r="F45" s="8"/>
      <c r="G45" s="9"/>
      <c r="H45" s="9"/>
      <c r="I45" s="10" t="str">
        <f aca="false">IF(H45="","",H45+'How to Use'!$B$19)</f>
        <v/>
      </c>
      <c r="J45" s="8"/>
      <c r="K45" s="9"/>
      <c r="L45" s="8"/>
      <c r="M45" s="8"/>
    </row>
    <row r="46" customFormat="false" ht="15" hidden="false" customHeight="false" outlineLevel="0" collapsed="false">
      <c r="A46" s="8"/>
      <c r="B46" s="8"/>
      <c r="C46" s="8"/>
      <c r="D46" s="7" t="str">
        <f aca="false">IF(B46="","",COUNTIFS('Box Register'!$E:$E,$A46,'Box Register'!$F:$F,$B46))</f>
        <v/>
      </c>
      <c r="E46" s="8"/>
      <c r="F46" s="8"/>
      <c r="G46" s="9"/>
      <c r="H46" s="9"/>
      <c r="I46" s="10" t="str">
        <f aca="false">IF(H46="","",H46+'How to Use'!$B$19)</f>
        <v/>
      </c>
      <c r="J46" s="8"/>
      <c r="K46" s="9"/>
      <c r="L46" s="8"/>
      <c r="M46" s="8"/>
    </row>
    <row r="47" customFormat="false" ht="15" hidden="false" customHeight="false" outlineLevel="0" collapsed="false">
      <c r="A47" s="8"/>
      <c r="B47" s="8"/>
      <c r="C47" s="8"/>
      <c r="D47" s="7" t="str">
        <f aca="false">IF(B47="","",COUNTIFS('Box Register'!$E:$E,$A47,'Box Register'!$F:$F,$B47))</f>
        <v/>
      </c>
      <c r="E47" s="8"/>
      <c r="F47" s="8"/>
      <c r="G47" s="9"/>
      <c r="H47" s="9"/>
      <c r="I47" s="10" t="str">
        <f aca="false">IF(H47="","",H47+'How to Use'!$B$19)</f>
        <v/>
      </c>
      <c r="J47" s="8"/>
      <c r="K47" s="9"/>
      <c r="L47" s="8"/>
      <c r="M47" s="8"/>
    </row>
    <row r="48" customFormat="false" ht="15" hidden="false" customHeight="false" outlineLevel="0" collapsed="false">
      <c r="A48" s="8"/>
      <c r="B48" s="8"/>
      <c r="C48" s="8"/>
      <c r="D48" s="7" t="str">
        <f aca="false">IF(B48="","",COUNTIFS('Box Register'!$E:$E,$A48,'Box Register'!$F:$F,$B48))</f>
        <v/>
      </c>
      <c r="E48" s="8"/>
      <c r="F48" s="8"/>
      <c r="G48" s="9"/>
      <c r="H48" s="9"/>
      <c r="I48" s="10" t="str">
        <f aca="false">IF(H48="","",H48+'How to Use'!$B$19)</f>
        <v/>
      </c>
      <c r="J48" s="8"/>
      <c r="K48" s="9"/>
      <c r="L48" s="8"/>
      <c r="M48" s="8"/>
    </row>
    <row r="49" customFormat="false" ht="15" hidden="false" customHeight="false" outlineLevel="0" collapsed="false">
      <c r="A49" s="8"/>
      <c r="B49" s="8"/>
      <c r="C49" s="8"/>
      <c r="D49" s="7" t="str">
        <f aca="false">IF(B49="","",COUNTIFS('Box Register'!$E:$E,$A49,'Box Register'!$F:$F,$B49))</f>
        <v/>
      </c>
      <c r="E49" s="8"/>
      <c r="F49" s="8"/>
      <c r="G49" s="9"/>
      <c r="H49" s="9"/>
      <c r="I49" s="10" t="str">
        <f aca="false">IF(H49="","",H49+'How to Use'!$B$19)</f>
        <v/>
      </c>
      <c r="J49" s="8"/>
      <c r="K49" s="9"/>
      <c r="L49" s="8"/>
      <c r="M49" s="8"/>
    </row>
    <row r="50" customFormat="false" ht="15" hidden="false" customHeight="false" outlineLevel="0" collapsed="false">
      <c r="A50" s="8"/>
      <c r="B50" s="8"/>
      <c r="C50" s="8"/>
      <c r="D50" s="7" t="str">
        <f aca="false">IF(B50="","",COUNTIFS('Box Register'!$E:$E,$A50,'Box Register'!$F:$F,$B50))</f>
        <v/>
      </c>
      <c r="E50" s="8"/>
      <c r="F50" s="8"/>
      <c r="G50" s="9"/>
      <c r="H50" s="9"/>
      <c r="I50" s="10" t="str">
        <f aca="false">IF(H50="","",H50+'How to Use'!$B$19)</f>
        <v/>
      </c>
      <c r="J50" s="8"/>
      <c r="K50" s="9"/>
      <c r="L50" s="8"/>
      <c r="M50" s="8"/>
    </row>
    <row r="51" customFormat="false" ht="15" hidden="false" customHeight="false" outlineLevel="0" collapsed="false">
      <c r="A51" s="8"/>
      <c r="B51" s="8"/>
      <c r="C51" s="8"/>
      <c r="D51" s="7" t="str">
        <f aca="false">IF(B51="","",COUNTIFS('Box Register'!$E:$E,$A51,'Box Register'!$F:$F,$B51))</f>
        <v/>
      </c>
      <c r="E51" s="8"/>
      <c r="F51" s="8"/>
      <c r="G51" s="9"/>
      <c r="H51" s="9"/>
      <c r="I51" s="10" t="str">
        <f aca="false">IF(H51="","",H51+'How to Use'!$B$19)</f>
        <v/>
      </c>
      <c r="J51" s="8"/>
      <c r="K51" s="9"/>
      <c r="L51" s="8"/>
      <c r="M51" s="8"/>
    </row>
    <row r="52" customFormat="false" ht="15" hidden="false" customHeight="false" outlineLevel="0" collapsed="false">
      <c r="A52" s="8"/>
      <c r="B52" s="8"/>
      <c r="C52" s="8"/>
      <c r="D52" s="7" t="str">
        <f aca="false">IF(B52="","",COUNTIFS('Box Register'!$E:$E,$A52,'Box Register'!$F:$F,$B52))</f>
        <v/>
      </c>
      <c r="E52" s="8"/>
      <c r="F52" s="8"/>
      <c r="G52" s="9"/>
      <c r="H52" s="9"/>
      <c r="I52" s="10" t="str">
        <f aca="false">IF(H52="","",H52+'How to Use'!$B$19)</f>
        <v/>
      </c>
      <c r="J52" s="8"/>
      <c r="K52" s="9"/>
      <c r="L52" s="8"/>
      <c r="M52" s="8"/>
    </row>
    <row r="53" customFormat="false" ht="15" hidden="false" customHeight="false" outlineLevel="0" collapsed="false">
      <c r="A53" s="8"/>
      <c r="B53" s="8"/>
      <c r="C53" s="8"/>
      <c r="D53" s="7" t="str">
        <f aca="false">IF(B53="","",COUNTIFS('Box Register'!$E:$E,$A53,'Box Register'!$F:$F,$B53))</f>
        <v/>
      </c>
      <c r="E53" s="8"/>
      <c r="F53" s="8"/>
      <c r="G53" s="9"/>
      <c r="H53" s="9"/>
      <c r="I53" s="10" t="str">
        <f aca="false">IF(H53="","",H53+'How to Use'!$B$19)</f>
        <v/>
      </c>
      <c r="J53" s="8"/>
      <c r="K53" s="9"/>
      <c r="L53" s="8"/>
      <c r="M53" s="8"/>
    </row>
    <row r="54" customFormat="false" ht="15" hidden="false" customHeight="false" outlineLevel="0" collapsed="false">
      <c r="A54" s="8"/>
      <c r="B54" s="8"/>
      <c r="C54" s="8"/>
      <c r="D54" s="7" t="str">
        <f aca="false">IF(B54="","",COUNTIFS('Box Register'!$E:$E,$A54,'Box Register'!$F:$F,$B54))</f>
        <v/>
      </c>
      <c r="E54" s="8"/>
      <c r="F54" s="8"/>
      <c r="G54" s="9"/>
      <c r="H54" s="9"/>
      <c r="I54" s="10" t="str">
        <f aca="false">IF(H54="","",H54+'How to Use'!$B$19)</f>
        <v/>
      </c>
      <c r="J54" s="8"/>
      <c r="K54" s="9"/>
      <c r="L54" s="8"/>
      <c r="M54" s="8"/>
    </row>
    <row r="55" customFormat="false" ht="15" hidden="false" customHeight="false" outlineLevel="0" collapsed="false">
      <c r="A55" s="8"/>
      <c r="B55" s="8"/>
      <c r="C55" s="8"/>
      <c r="D55" s="7" t="str">
        <f aca="false">IF(B55="","",COUNTIFS('Box Register'!$E:$E,$A55,'Box Register'!$F:$F,$B55))</f>
        <v/>
      </c>
      <c r="E55" s="8"/>
      <c r="F55" s="8"/>
      <c r="G55" s="9"/>
      <c r="H55" s="9"/>
      <c r="I55" s="10" t="str">
        <f aca="false">IF(H55="","",H55+'How to Use'!$B$19)</f>
        <v/>
      </c>
      <c r="J55" s="8"/>
      <c r="K55" s="9"/>
      <c r="L55" s="8"/>
      <c r="M55" s="8"/>
    </row>
    <row r="56" customFormat="false" ht="15" hidden="false" customHeight="false" outlineLevel="0" collapsed="false">
      <c r="A56" s="8"/>
      <c r="B56" s="8"/>
      <c r="C56" s="8"/>
      <c r="D56" s="7" t="str">
        <f aca="false">IF(B56="","",COUNTIFS('Box Register'!$E:$E,$A56,'Box Register'!$F:$F,$B56))</f>
        <v/>
      </c>
      <c r="E56" s="8"/>
      <c r="F56" s="8"/>
      <c r="G56" s="9"/>
      <c r="H56" s="9"/>
      <c r="I56" s="10" t="str">
        <f aca="false">IF(H56="","",H56+'How to Use'!$B$19)</f>
        <v/>
      </c>
      <c r="J56" s="8"/>
      <c r="K56" s="9"/>
      <c r="L56" s="8"/>
      <c r="M56" s="8"/>
    </row>
    <row r="57" customFormat="false" ht="15" hidden="false" customHeight="false" outlineLevel="0" collapsed="false">
      <c r="A57" s="8"/>
      <c r="B57" s="8"/>
      <c r="C57" s="8"/>
      <c r="D57" s="7" t="str">
        <f aca="false">IF(B57="","",COUNTIFS('Box Register'!$E:$E,$A57,'Box Register'!$F:$F,$B57))</f>
        <v/>
      </c>
      <c r="E57" s="8"/>
      <c r="F57" s="8"/>
      <c r="G57" s="9"/>
      <c r="H57" s="9"/>
      <c r="I57" s="10" t="str">
        <f aca="false">IF(H57="","",H57+'How to Use'!$B$19)</f>
        <v/>
      </c>
      <c r="J57" s="8"/>
      <c r="K57" s="9"/>
      <c r="L57" s="8"/>
      <c r="M57" s="8"/>
    </row>
    <row r="58" customFormat="false" ht="15" hidden="false" customHeight="false" outlineLevel="0" collapsed="false">
      <c r="A58" s="8"/>
      <c r="B58" s="8"/>
      <c r="C58" s="8"/>
      <c r="D58" s="7" t="str">
        <f aca="false">IF(B58="","",COUNTIFS('Box Register'!$E:$E,$A58,'Box Register'!$F:$F,$B58))</f>
        <v/>
      </c>
      <c r="E58" s="8"/>
      <c r="F58" s="8"/>
      <c r="G58" s="9"/>
      <c r="H58" s="9"/>
      <c r="I58" s="10" t="str">
        <f aca="false">IF(H58="","",H58+'How to Use'!$B$19)</f>
        <v/>
      </c>
      <c r="J58" s="8"/>
      <c r="K58" s="9"/>
      <c r="L58" s="8"/>
      <c r="M58" s="8"/>
    </row>
    <row r="59" customFormat="false" ht="15" hidden="false" customHeight="false" outlineLevel="0" collapsed="false">
      <c r="A59" s="8"/>
      <c r="B59" s="8"/>
      <c r="C59" s="8"/>
      <c r="D59" s="7" t="str">
        <f aca="false">IF(B59="","",COUNTIFS('Box Register'!$E:$E,$A59,'Box Register'!$F:$F,$B59))</f>
        <v/>
      </c>
      <c r="E59" s="8"/>
      <c r="F59" s="8"/>
      <c r="G59" s="9"/>
      <c r="H59" s="9"/>
      <c r="I59" s="10" t="str">
        <f aca="false">IF(H59="","",H59+'How to Use'!$B$19)</f>
        <v/>
      </c>
      <c r="J59" s="8"/>
      <c r="K59" s="9"/>
      <c r="L59" s="8"/>
      <c r="M59" s="8"/>
    </row>
    <row r="60" customFormat="false" ht="15" hidden="false" customHeight="false" outlineLevel="0" collapsed="false">
      <c r="A60" s="8"/>
      <c r="B60" s="8"/>
      <c r="C60" s="8"/>
      <c r="D60" s="7" t="str">
        <f aca="false">IF(B60="","",COUNTIFS('Box Register'!$E:$E,$A60,'Box Register'!$F:$F,$B60))</f>
        <v/>
      </c>
      <c r="E60" s="8"/>
      <c r="F60" s="8"/>
      <c r="G60" s="9"/>
      <c r="H60" s="9"/>
      <c r="I60" s="10" t="str">
        <f aca="false">IF(H60="","",H60+'How to Use'!$B$19)</f>
        <v/>
      </c>
      <c r="J60" s="8"/>
      <c r="K60" s="9"/>
      <c r="L60" s="8"/>
      <c r="M60" s="8"/>
    </row>
    <row r="61" customFormat="false" ht="15" hidden="false" customHeight="false" outlineLevel="0" collapsed="false">
      <c r="A61" s="8"/>
      <c r="B61" s="8"/>
      <c r="C61" s="8"/>
      <c r="D61" s="7" t="str">
        <f aca="false">IF(B61="","",COUNTIFS('Box Register'!$E:$E,$A61,'Box Register'!$F:$F,$B61))</f>
        <v/>
      </c>
      <c r="E61" s="8"/>
      <c r="F61" s="8"/>
      <c r="G61" s="9"/>
      <c r="H61" s="9"/>
      <c r="I61" s="10" t="str">
        <f aca="false">IF(H61="","",H61+'How to Use'!$B$19)</f>
        <v/>
      </c>
      <c r="J61" s="8"/>
      <c r="K61" s="9"/>
      <c r="L61" s="8"/>
      <c r="M61" s="8"/>
    </row>
    <row r="62" customFormat="false" ht="15" hidden="false" customHeight="false" outlineLevel="0" collapsed="false">
      <c r="A62" s="8"/>
      <c r="B62" s="8"/>
      <c r="C62" s="8"/>
      <c r="D62" s="7" t="str">
        <f aca="false">IF(B62="","",COUNTIFS('Box Register'!$E:$E,$A62,'Box Register'!$F:$F,$B62))</f>
        <v/>
      </c>
      <c r="E62" s="8"/>
      <c r="F62" s="8"/>
      <c r="G62" s="9"/>
      <c r="H62" s="9"/>
      <c r="I62" s="10" t="str">
        <f aca="false">IF(H62="","",H62+'How to Use'!$B$19)</f>
        <v/>
      </c>
      <c r="J62" s="8"/>
      <c r="K62" s="9"/>
      <c r="L62" s="8"/>
      <c r="M62" s="8"/>
    </row>
    <row r="63" customFormat="false" ht="15" hidden="false" customHeight="false" outlineLevel="0" collapsed="false">
      <c r="A63" s="8"/>
      <c r="B63" s="8"/>
      <c r="C63" s="8"/>
      <c r="D63" s="7" t="str">
        <f aca="false">IF(B63="","",COUNTIFS('Box Register'!$E:$E,$A63,'Box Register'!$F:$F,$B63))</f>
        <v/>
      </c>
      <c r="E63" s="8"/>
      <c r="F63" s="8"/>
      <c r="G63" s="9"/>
      <c r="H63" s="9"/>
      <c r="I63" s="10" t="str">
        <f aca="false">IF(H63="","",H63+'How to Use'!$B$19)</f>
        <v/>
      </c>
      <c r="J63" s="8"/>
      <c r="K63" s="9"/>
      <c r="L63" s="8"/>
      <c r="M63" s="8"/>
    </row>
    <row r="64" customFormat="false" ht="15" hidden="false" customHeight="false" outlineLevel="0" collapsed="false">
      <c r="A64" s="8"/>
      <c r="B64" s="8"/>
      <c r="C64" s="8"/>
      <c r="D64" s="7" t="str">
        <f aca="false">IF(B64="","",COUNTIFS('Box Register'!$E:$E,$A64,'Box Register'!$F:$F,$B64))</f>
        <v/>
      </c>
      <c r="E64" s="8"/>
      <c r="F64" s="8"/>
      <c r="G64" s="9"/>
      <c r="H64" s="9"/>
      <c r="I64" s="10" t="str">
        <f aca="false">IF(H64="","",H64+'How to Use'!$B$19)</f>
        <v/>
      </c>
      <c r="J64" s="8"/>
      <c r="K64" s="9"/>
      <c r="L64" s="8"/>
      <c r="M64" s="8"/>
    </row>
    <row r="65" customFormat="false" ht="15" hidden="false" customHeight="false" outlineLevel="0" collapsed="false">
      <c r="A65" s="8"/>
      <c r="B65" s="8"/>
      <c r="C65" s="8"/>
      <c r="D65" s="7" t="str">
        <f aca="false">IF(B65="","",COUNTIFS('Box Register'!$E:$E,$A65,'Box Register'!$F:$F,$B65))</f>
        <v/>
      </c>
      <c r="E65" s="8"/>
      <c r="F65" s="8"/>
      <c r="G65" s="9"/>
      <c r="H65" s="9"/>
      <c r="I65" s="10" t="str">
        <f aca="false">IF(H65="","",H65+'How to Use'!$B$19)</f>
        <v/>
      </c>
      <c r="J65" s="8"/>
      <c r="K65" s="9"/>
      <c r="L65" s="8"/>
      <c r="M65" s="8"/>
    </row>
    <row r="66" customFormat="false" ht="15" hidden="false" customHeight="false" outlineLevel="0" collapsed="false">
      <c r="A66" s="8"/>
      <c r="B66" s="8"/>
      <c r="C66" s="8"/>
      <c r="D66" s="7" t="str">
        <f aca="false">IF(B66="","",COUNTIFS('Box Register'!$E:$E,$A66,'Box Register'!$F:$F,$B66))</f>
        <v/>
      </c>
      <c r="E66" s="8"/>
      <c r="F66" s="8"/>
      <c r="G66" s="9"/>
      <c r="H66" s="9"/>
      <c r="I66" s="10" t="str">
        <f aca="false">IF(H66="","",H66+'How to Use'!$B$19)</f>
        <v/>
      </c>
      <c r="J66" s="8"/>
      <c r="K66" s="9"/>
      <c r="L66" s="8"/>
      <c r="M66" s="8"/>
    </row>
    <row r="67" customFormat="false" ht="15" hidden="false" customHeight="false" outlineLevel="0" collapsed="false">
      <c r="A67" s="8"/>
      <c r="B67" s="8"/>
      <c r="C67" s="8"/>
      <c r="D67" s="7" t="str">
        <f aca="false">IF(B67="","",COUNTIFS('Box Register'!$E:$E,$A67,'Box Register'!$F:$F,$B67))</f>
        <v/>
      </c>
      <c r="E67" s="8"/>
      <c r="F67" s="8"/>
      <c r="G67" s="9"/>
      <c r="H67" s="9"/>
      <c r="I67" s="10" t="str">
        <f aca="false">IF(H67="","",H67+'How to Use'!$B$19)</f>
        <v/>
      </c>
      <c r="J67" s="8"/>
      <c r="K67" s="9"/>
      <c r="L67" s="8"/>
      <c r="M67" s="8"/>
    </row>
    <row r="68" customFormat="false" ht="15" hidden="false" customHeight="false" outlineLevel="0" collapsed="false">
      <c r="A68" s="8"/>
      <c r="B68" s="8"/>
      <c r="C68" s="8"/>
      <c r="D68" s="7" t="str">
        <f aca="false">IF(B68="","",COUNTIFS('Box Register'!$E:$E,$A68,'Box Register'!$F:$F,$B68))</f>
        <v/>
      </c>
      <c r="E68" s="8"/>
      <c r="F68" s="8"/>
      <c r="G68" s="9"/>
      <c r="H68" s="9"/>
      <c r="I68" s="10" t="str">
        <f aca="false">IF(H68="","",H68+'How to Use'!$B$19)</f>
        <v/>
      </c>
      <c r="J68" s="8"/>
      <c r="K68" s="9"/>
      <c r="L68" s="8"/>
      <c r="M68" s="8"/>
    </row>
    <row r="69" customFormat="false" ht="15" hidden="false" customHeight="false" outlineLevel="0" collapsed="false">
      <c r="A69" s="8"/>
      <c r="B69" s="8"/>
      <c r="C69" s="8"/>
      <c r="D69" s="7" t="str">
        <f aca="false">IF(B69="","",COUNTIFS('Box Register'!$E:$E,$A69,'Box Register'!$F:$F,$B69))</f>
        <v/>
      </c>
      <c r="E69" s="8"/>
      <c r="F69" s="8"/>
      <c r="G69" s="9"/>
      <c r="H69" s="9"/>
      <c r="I69" s="10" t="str">
        <f aca="false">IF(H69="","",H69+'How to Use'!$B$19)</f>
        <v/>
      </c>
      <c r="J69" s="8"/>
      <c r="K69" s="9"/>
      <c r="L69" s="8"/>
      <c r="M69" s="8"/>
    </row>
    <row r="70" customFormat="false" ht="15" hidden="false" customHeight="false" outlineLevel="0" collapsed="false">
      <c r="A70" s="8"/>
      <c r="B70" s="8"/>
      <c r="C70" s="8"/>
      <c r="D70" s="7" t="str">
        <f aca="false">IF(B70="","",COUNTIFS('Box Register'!$E:$E,$A70,'Box Register'!$F:$F,$B70))</f>
        <v/>
      </c>
      <c r="E70" s="8"/>
      <c r="F70" s="8"/>
      <c r="G70" s="9"/>
      <c r="H70" s="9"/>
      <c r="I70" s="10" t="str">
        <f aca="false">IF(H70="","",H70+'How to Use'!$B$19)</f>
        <v/>
      </c>
      <c r="J70" s="8"/>
      <c r="K70" s="9"/>
      <c r="L70" s="8"/>
      <c r="M70" s="8"/>
    </row>
    <row r="71" customFormat="false" ht="15" hidden="false" customHeight="false" outlineLevel="0" collapsed="false">
      <c r="A71" s="8"/>
      <c r="B71" s="8"/>
      <c r="C71" s="8"/>
      <c r="D71" s="7" t="str">
        <f aca="false">IF(B71="","",COUNTIFS('Box Register'!$E:$E,$A71,'Box Register'!$F:$F,$B71))</f>
        <v/>
      </c>
      <c r="E71" s="8"/>
      <c r="F71" s="8"/>
      <c r="G71" s="9"/>
      <c r="H71" s="9"/>
      <c r="I71" s="10" t="str">
        <f aca="false">IF(H71="","",H71+'How to Use'!$B$19)</f>
        <v/>
      </c>
      <c r="J71" s="8"/>
      <c r="K71" s="9"/>
      <c r="L71" s="8"/>
      <c r="M71" s="8"/>
    </row>
    <row r="72" customFormat="false" ht="15" hidden="false" customHeight="false" outlineLevel="0" collapsed="false">
      <c r="A72" s="8"/>
      <c r="B72" s="8"/>
      <c r="C72" s="8"/>
      <c r="D72" s="7" t="str">
        <f aca="false">IF(B72="","",COUNTIFS('Box Register'!$E:$E,$A72,'Box Register'!$F:$F,$B72))</f>
        <v/>
      </c>
      <c r="E72" s="8"/>
      <c r="F72" s="8"/>
      <c r="G72" s="9"/>
      <c r="H72" s="9"/>
      <c r="I72" s="10" t="str">
        <f aca="false">IF(H72="","",H72+'How to Use'!$B$19)</f>
        <v/>
      </c>
      <c r="J72" s="8"/>
      <c r="K72" s="9"/>
      <c r="L72" s="8"/>
      <c r="M72" s="8"/>
    </row>
    <row r="73" customFormat="false" ht="15" hidden="false" customHeight="false" outlineLevel="0" collapsed="false">
      <c r="A73" s="8"/>
      <c r="B73" s="8"/>
      <c r="C73" s="8"/>
      <c r="D73" s="7" t="str">
        <f aca="false">IF(B73="","",COUNTIFS('Box Register'!$E:$E,$A73,'Box Register'!$F:$F,$B73))</f>
        <v/>
      </c>
      <c r="E73" s="8"/>
      <c r="F73" s="8"/>
      <c r="G73" s="9"/>
      <c r="H73" s="9"/>
      <c r="I73" s="10" t="str">
        <f aca="false">IF(H73="","",H73+'How to Use'!$B$19)</f>
        <v/>
      </c>
      <c r="J73" s="8"/>
      <c r="K73" s="9"/>
      <c r="L73" s="8"/>
      <c r="M73" s="8"/>
    </row>
    <row r="74" customFormat="false" ht="15" hidden="false" customHeight="false" outlineLevel="0" collapsed="false">
      <c r="A74" s="8"/>
      <c r="B74" s="8"/>
      <c r="C74" s="8"/>
      <c r="D74" s="7" t="str">
        <f aca="false">IF(B74="","",COUNTIFS('Box Register'!$E:$E,$A74,'Box Register'!$F:$F,$B74))</f>
        <v/>
      </c>
      <c r="E74" s="8"/>
      <c r="F74" s="8"/>
      <c r="G74" s="9"/>
      <c r="H74" s="9"/>
      <c r="I74" s="10" t="str">
        <f aca="false">IF(H74="","",H74+'How to Use'!$B$19)</f>
        <v/>
      </c>
      <c r="J74" s="8"/>
      <c r="K74" s="9"/>
      <c r="L74" s="8"/>
      <c r="M74" s="8"/>
    </row>
    <row r="75" customFormat="false" ht="15" hidden="false" customHeight="false" outlineLevel="0" collapsed="false">
      <c r="A75" s="8"/>
      <c r="B75" s="8"/>
      <c r="C75" s="8"/>
      <c r="D75" s="7" t="str">
        <f aca="false">IF(B75="","",COUNTIFS('Box Register'!$E:$E,$A75,'Box Register'!$F:$F,$B75))</f>
        <v/>
      </c>
      <c r="E75" s="8"/>
      <c r="F75" s="8"/>
      <c r="G75" s="9"/>
      <c r="H75" s="9"/>
      <c r="I75" s="10" t="str">
        <f aca="false">IF(H75="","",H75+'How to Use'!$B$19)</f>
        <v/>
      </c>
      <c r="J75" s="8"/>
      <c r="K75" s="9"/>
      <c r="L75" s="8"/>
      <c r="M75" s="8"/>
    </row>
    <row r="76" customFormat="false" ht="15" hidden="false" customHeight="false" outlineLevel="0" collapsed="false">
      <c r="A76" s="8"/>
      <c r="B76" s="8"/>
      <c r="C76" s="8"/>
      <c r="D76" s="7" t="str">
        <f aca="false">IF(B76="","",COUNTIFS('Box Register'!$E:$E,$A76,'Box Register'!$F:$F,$B76))</f>
        <v/>
      </c>
      <c r="E76" s="8"/>
      <c r="F76" s="8"/>
      <c r="G76" s="9"/>
      <c r="H76" s="9"/>
      <c r="I76" s="10" t="str">
        <f aca="false">IF(H76="","",H76+'How to Use'!$B$19)</f>
        <v/>
      </c>
      <c r="J76" s="8"/>
      <c r="K76" s="9"/>
      <c r="L76" s="8"/>
      <c r="M76" s="8"/>
    </row>
    <row r="77" customFormat="false" ht="15" hidden="false" customHeight="false" outlineLevel="0" collapsed="false">
      <c r="A77" s="8"/>
      <c r="B77" s="8"/>
      <c r="C77" s="8"/>
      <c r="D77" s="7" t="str">
        <f aca="false">IF(B77="","",COUNTIFS('Box Register'!$E:$E,$A77,'Box Register'!$F:$F,$B77))</f>
        <v/>
      </c>
      <c r="E77" s="8"/>
      <c r="F77" s="8"/>
      <c r="G77" s="9"/>
      <c r="H77" s="9"/>
      <c r="I77" s="10" t="str">
        <f aca="false">IF(H77="","",H77+'How to Use'!$B$19)</f>
        <v/>
      </c>
      <c r="J77" s="8"/>
      <c r="K77" s="9"/>
      <c r="L77" s="8"/>
      <c r="M77" s="8"/>
    </row>
    <row r="78" customFormat="false" ht="15" hidden="false" customHeight="false" outlineLevel="0" collapsed="false">
      <c r="A78" s="8"/>
      <c r="B78" s="8"/>
      <c r="C78" s="8"/>
      <c r="D78" s="7" t="str">
        <f aca="false">IF(B78="","",COUNTIFS('Box Register'!$E:$E,$A78,'Box Register'!$F:$F,$B78))</f>
        <v/>
      </c>
      <c r="E78" s="8"/>
      <c r="F78" s="8"/>
      <c r="G78" s="9"/>
      <c r="H78" s="9"/>
      <c r="I78" s="10" t="str">
        <f aca="false">IF(H78="","",H78+'How to Use'!$B$19)</f>
        <v/>
      </c>
      <c r="J78" s="8"/>
      <c r="K78" s="9"/>
      <c r="L78" s="8"/>
      <c r="M78" s="8"/>
    </row>
    <row r="79" customFormat="false" ht="15" hidden="false" customHeight="false" outlineLevel="0" collapsed="false">
      <c r="A79" s="8"/>
      <c r="B79" s="8"/>
      <c r="C79" s="8"/>
      <c r="D79" s="7" t="str">
        <f aca="false">IF(B79="","",COUNTIFS('Box Register'!$E:$E,$A79,'Box Register'!$F:$F,$B79))</f>
        <v/>
      </c>
      <c r="E79" s="8"/>
      <c r="F79" s="8"/>
      <c r="G79" s="9"/>
      <c r="H79" s="9"/>
      <c r="I79" s="10" t="str">
        <f aca="false">IF(H79="","",H79+'How to Use'!$B$19)</f>
        <v/>
      </c>
      <c r="J79" s="8"/>
      <c r="K79" s="9"/>
      <c r="L79" s="8"/>
      <c r="M79" s="8"/>
    </row>
    <row r="80" customFormat="false" ht="15" hidden="false" customHeight="false" outlineLevel="0" collapsed="false">
      <c r="A80" s="8"/>
      <c r="B80" s="8"/>
      <c r="C80" s="8"/>
      <c r="D80" s="7" t="str">
        <f aca="false">IF(B80="","",COUNTIFS('Box Register'!$E:$E,$A80,'Box Register'!$F:$F,$B80))</f>
        <v/>
      </c>
      <c r="E80" s="8"/>
      <c r="F80" s="8"/>
      <c r="G80" s="9"/>
      <c r="H80" s="9"/>
      <c r="I80" s="10" t="str">
        <f aca="false">IF(H80="","",H80+'How to Use'!$B$19)</f>
        <v/>
      </c>
      <c r="J80" s="8"/>
      <c r="K80" s="9"/>
      <c r="L80" s="8"/>
      <c r="M80" s="8"/>
    </row>
    <row r="81" customFormat="false" ht="15" hidden="false" customHeight="false" outlineLevel="0" collapsed="false">
      <c r="A81" s="8"/>
      <c r="B81" s="8"/>
      <c r="C81" s="8"/>
      <c r="D81" s="7" t="str">
        <f aca="false">IF(B81="","",COUNTIFS('Box Register'!$E:$E,$A81,'Box Register'!$F:$F,$B81))</f>
        <v/>
      </c>
      <c r="E81" s="8"/>
      <c r="F81" s="8"/>
      <c r="G81" s="9"/>
      <c r="H81" s="9"/>
      <c r="I81" s="10" t="str">
        <f aca="false">IF(H81="","",H81+'How to Use'!$B$19)</f>
        <v/>
      </c>
      <c r="J81" s="8"/>
      <c r="K81" s="9"/>
      <c r="L81" s="8"/>
      <c r="M81" s="8"/>
    </row>
    <row r="82" customFormat="false" ht="15" hidden="false" customHeight="false" outlineLevel="0" collapsed="false">
      <c r="A82" s="8"/>
      <c r="B82" s="8"/>
      <c r="C82" s="8"/>
      <c r="D82" s="7" t="str">
        <f aca="false">IF(B82="","",COUNTIFS('Box Register'!$E:$E,$A82,'Box Register'!$F:$F,$B82))</f>
        <v/>
      </c>
      <c r="E82" s="8"/>
      <c r="F82" s="8"/>
      <c r="G82" s="9"/>
      <c r="H82" s="9"/>
      <c r="I82" s="10" t="str">
        <f aca="false">IF(H82="","",H82+'How to Use'!$B$19)</f>
        <v/>
      </c>
      <c r="J82" s="8"/>
      <c r="K82" s="9"/>
      <c r="L82" s="8"/>
      <c r="M82" s="8"/>
    </row>
    <row r="83" customFormat="false" ht="15" hidden="false" customHeight="false" outlineLevel="0" collapsed="false">
      <c r="A83" s="8"/>
      <c r="B83" s="8"/>
      <c r="C83" s="8"/>
      <c r="D83" s="7" t="str">
        <f aca="false">IF(B83="","",COUNTIFS('Box Register'!$E:$E,$A83,'Box Register'!$F:$F,$B83))</f>
        <v/>
      </c>
      <c r="E83" s="8"/>
      <c r="F83" s="8"/>
      <c r="G83" s="9"/>
      <c r="H83" s="9"/>
      <c r="I83" s="10" t="str">
        <f aca="false">IF(H83="","",H83+'How to Use'!$B$19)</f>
        <v/>
      </c>
      <c r="J83" s="8"/>
      <c r="K83" s="9"/>
      <c r="L83" s="8"/>
      <c r="M83" s="8"/>
    </row>
    <row r="84" customFormat="false" ht="15" hidden="false" customHeight="false" outlineLevel="0" collapsed="false">
      <c r="A84" s="8"/>
      <c r="B84" s="8"/>
      <c r="C84" s="8"/>
      <c r="D84" s="7" t="str">
        <f aca="false">IF(B84="","",COUNTIFS('Box Register'!$E:$E,$A84,'Box Register'!$F:$F,$B84))</f>
        <v/>
      </c>
      <c r="E84" s="8"/>
      <c r="F84" s="8"/>
      <c r="G84" s="9"/>
      <c r="H84" s="9"/>
      <c r="I84" s="10" t="str">
        <f aca="false">IF(H84="","",H84+'How to Use'!$B$19)</f>
        <v/>
      </c>
      <c r="J84" s="8"/>
      <c r="K84" s="9"/>
      <c r="L84" s="8"/>
      <c r="M84" s="8"/>
    </row>
    <row r="85" customFormat="false" ht="15" hidden="false" customHeight="false" outlineLevel="0" collapsed="false">
      <c r="A85" s="8"/>
      <c r="B85" s="8"/>
      <c r="C85" s="8"/>
      <c r="D85" s="7" t="str">
        <f aca="false">IF(B85="","",COUNTIFS('Box Register'!$E:$E,$A85,'Box Register'!$F:$F,$B85))</f>
        <v/>
      </c>
      <c r="E85" s="8"/>
      <c r="F85" s="8"/>
      <c r="G85" s="9"/>
      <c r="H85" s="9"/>
      <c r="I85" s="10" t="str">
        <f aca="false">IF(H85="","",H85+'How to Use'!$B$19)</f>
        <v/>
      </c>
      <c r="J85" s="8"/>
      <c r="K85" s="9"/>
      <c r="L85" s="8"/>
      <c r="M85" s="8"/>
    </row>
    <row r="86" customFormat="false" ht="15" hidden="false" customHeight="false" outlineLevel="0" collapsed="false">
      <c r="A86" s="8"/>
      <c r="B86" s="8"/>
      <c r="C86" s="8"/>
      <c r="D86" s="7" t="str">
        <f aca="false">IF(B86="","",COUNTIFS('Box Register'!$E:$E,$A86,'Box Register'!$F:$F,$B86))</f>
        <v/>
      </c>
      <c r="E86" s="8"/>
      <c r="F86" s="8"/>
      <c r="G86" s="9"/>
      <c r="H86" s="9"/>
      <c r="I86" s="10" t="str">
        <f aca="false">IF(H86="","",H86+'How to Use'!$B$19)</f>
        <v/>
      </c>
      <c r="J86" s="8"/>
      <c r="K86" s="9"/>
      <c r="L86" s="8"/>
      <c r="M86" s="8"/>
    </row>
    <row r="87" customFormat="false" ht="15" hidden="false" customHeight="false" outlineLevel="0" collapsed="false">
      <c r="A87" s="8"/>
      <c r="B87" s="8"/>
      <c r="C87" s="8"/>
      <c r="D87" s="7" t="str">
        <f aca="false">IF(B87="","",COUNTIFS('Box Register'!$E:$E,$A87,'Box Register'!$F:$F,$B87))</f>
        <v/>
      </c>
      <c r="E87" s="8"/>
      <c r="F87" s="8"/>
      <c r="G87" s="9"/>
      <c r="H87" s="9"/>
      <c r="I87" s="10" t="str">
        <f aca="false">IF(H87="","",H87+'How to Use'!$B$19)</f>
        <v/>
      </c>
      <c r="J87" s="8"/>
      <c r="K87" s="9"/>
      <c r="L87" s="8"/>
      <c r="M87" s="8"/>
    </row>
    <row r="88" customFormat="false" ht="15" hidden="false" customHeight="false" outlineLevel="0" collapsed="false">
      <c r="A88" s="8"/>
      <c r="B88" s="8"/>
      <c r="C88" s="8"/>
      <c r="D88" s="7" t="str">
        <f aca="false">IF(B88="","",COUNTIFS('Box Register'!$E:$E,$A88,'Box Register'!$F:$F,$B88))</f>
        <v/>
      </c>
      <c r="E88" s="8"/>
      <c r="F88" s="8"/>
      <c r="G88" s="9"/>
      <c r="H88" s="9"/>
      <c r="I88" s="10" t="str">
        <f aca="false">IF(H88="","",H88+'How to Use'!$B$19)</f>
        <v/>
      </c>
      <c r="J88" s="8"/>
      <c r="K88" s="9"/>
      <c r="L88" s="8"/>
      <c r="M88" s="8"/>
    </row>
    <row r="89" customFormat="false" ht="15" hidden="false" customHeight="false" outlineLevel="0" collapsed="false">
      <c r="A89" s="8"/>
      <c r="B89" s="8"/>
      <c r="C89" s="8"/>
      <c r="D89" s="7" t="str">
        <f aca="false">IF(B89="","",COUNTIFS('Box Register'!$E:$E,$A89,'Box Register'!$F:$F,$B89))</f>
        <v/>
      </c>
      <c r="E89" s="8"/>
      <c r="F89" s="8"/>
      <c r="G89" s="9"/>
      <c r="H89" s="9"/>
      <c r="I89" s="10" t="str">
        <f aca="false">IF(H89="","",H89+'How to Use'!$B$19)</f>
        <v/>
      </c>
      <c r="J89" s="8"/>
      <c r="K89" s="9"/>
      <c r="L89" s="8"/>
      <c r="M89" s="8"/>
    </row>
    <row r="90" customFormat="false" ht="15" hidden="false" customHeight="false" outlineLevel="0" collapsed="false">
      <c r="A90" s="8"/>
      <c r="B90" s="8"/>
      <c r="C90" s="8"/>
      <c r="D90" s="7" t="str">
        <f aca="false">IF(B90="","",COUNTIFS('Box Register'!$E:$E,$A90,'Box Register'!$F:$F,$B90))</f>
        <v/>
      </c>
      <c r="E90" s="8"/>
      <c r="F90" s="8"/>
      <c r="G90" s="9"/>
      <c r="H90" s="9"/>
      <c r="I90" s="10" t="str">
        <f aca="false">IF(H90="","",H90+'How to Use'!$B$19)</f>
        <v/>
      </c>
      <c r="J90" s="8"/>
      <c r="K90" s="9"/>
      <c r="L90" s="8"/>
      <c r="M90" s="8"/>
    </row>
    <row r="91" customFormat="false" ht="15" hidden="false" customHeight="false" outlineLevel="0" collapsed="false">
      <c r="A91" s="8"/>
      <c r="B91" s="8"/>
      <c r="C91" s="8"/>
      <c r="D91" s="7" t="str">
        <f aca="false">IF(B91="","",COUNTIFS('Box Register'!$E:$E,$A91,'Box Register'!$F:$F,$B91))</f>
        <v/>
      </c>
      <c r="E91" s="8"/>
      <c r="F91" s="8"/>
      <c r="G91" s="9"/>
      <c r="H91" s="9"/>
      <c r="I91" s="10" t="str">
        <f aca="false">IF(H91="","",H91+'How to Use'!$B$19)</f>
        <v/>
      </c>
      <c r="J91" s="8"/>
      <c r="K91" s="9"/>
      <c r="L91" s="8"/>
      <c r="M91" s="8"/>
    </row>
    <row r="92" customFormat="false" ht="15" hidden="false" customHeight="false" outlineLevel="0" collapsed="false">
      <c r="A92" s="8"/>
      <c r="B92" s="8"/>
      <c r="C92" s="8"/>
      <c r="D92" s="7" t="str">
        <f aca="false">IF(B92="","",COUNTIFS('Box Register'!$E:$E,$A92,'Box Register'!$F:$F,$B92))</f>
        <v/>
      </c>
      <c r="E92" s="8"/>
      <c r="F92" s="8"/>
      <c r="G92" s="9"/>
      <c r="H92" s="9"/>
      <c r="I92" s="10" t="str">
        <f aca="false">IF(H92="","",H92+'How to Use'!$B$19)</f>
        <v/>
      </c>
      <c r="J92" s="8"/>
      <c r="K92" s="9"/>
      <c r="L92" s="8"/>
      <c r="M92" s="8"/>
    </row>
    <row r="93" customFormat="false" ht="15" hidden="false" customHeight="false" outlineLevel="0" collapsed="false">
      <c r="A93" s="8"/>
      <c r="B93" s="8"/>
      <c r="C93" s="8"/>
      <c r="D93" s="7" t="str">
        <f aca="false">IF(B93="","",COUNTIFS('Box Register'!$E:$E,$A93,'Box Register'!$F:$F,$B93))</f>
        <v/>
      </c>
      <c r="E93" s="8"/>
      <c r="F93" s="8"/>
      <c r="G93" s="9"/>
      <c r="H93" s="9"/>
      <c r="I93" s="10" t="str">
        <f aca="false">IF(H93="","",H93+'How to Use'!$B$19)</f>
        <v/>
      </c>
      <c r="J93" s="8"/>
      <c r="K93" s="9"/>
      <c r="L93" s="8"/>
      <c r="M93" s="8"/>
    </row>
    <row r="94" customFormat="false" ht="15" hidden="false" customHeight="false" outlineLevel="0" collapsed="false">
      <c r="A94" s="8"/>
      <c r="B94" s="8"/>
      <c r="C94" s="8"/>
      <c r="D94" s="7" t="str">
        <f aca="false">IF(B94="","",COUNTIFS('Box Register'!$E:$E,$A94,'Box Register'!$F:$F,$B94))</f>
        <v/>
      </c>
      <c r="E94" s="8"/>
      <c r="F94" s="8"/>
      <c r="G94" s="9"/>
      <c r="H94" s="9"/>
      <c r="I94" s="10" t="str">
        <f aca="false">IF(H94="","",H94+'How to Use'!$B$19)</f>
        <v/>
      </c>
      <c r="J94" s="8"/>
      <c r="K94" s="9"/>
      <c r="L94" s="8"/>
      <c r="M94" s="8"/>
    </row>
    <row r="95" customFormat="false" ht="15" hidden="false" customHeight="false" outlineLevel="0" collapsed="false">
      <c r="A95" s="8"/>
      <c r="B95" s="8"/>
      <c r="C95" s="8"/>
      <c r="D95" s="7" t="str">
        <f aca="false">IF(B95="","",COUNTIFS('Box Register'!$E:$E,$A95,'Box Register'!$F:$F,$B95))</f>
        <v/>
      </c>
      <c r="E95" s="8"/>
      <c r="F95" s="8"/>
      <c r="G95" s="9"/>
      <c r="H95" s="9"/>
      <c r="I95" s="10" t="str">
        <f aca="false">IF(H95="","",H95+'How to Use'!$B$19)</f>
        <v/>
      </c>
      <c r="J95" s="8"/>
      <c r="K95" s="9"/>
      <c r="L95" s="8"/>
      <c r="M95" s="8"/>
    </row>
    <row r="96" customFormat="false" ht="15" hidden="false" customHeight="false" outlineLevel="0" collapsed="false">
      <c r="A96" s="8"/>
      <c r="B96" s="8"/>
      <c r="C96" s="8"/>
      <c r="D96" s="7" t="str">
        <f aca="false">IF(B96="","",COUNTIFS('Box Register'!$E:$E,$A96,'Box Register'!$F:$F,$B96))</f>
        <v/>
      </c>
      <c r="E96" s="8"/>
      <c r="F96" s="8"/>
      <c r="G96" s="9"/>
      <c r="H96" s="9"/>
      <c r="I96" s="10" t="str">
        <f aca="false">IF(H96="","",H96+'How to Use'!$B$19)</f>
        <v/>
      </c>
      <c r="J96" s="8"/>
      <c r="K96" s="9"/>
      <c r="L96" s="8"/>
      <c r="M96" s="8"/>
    </row>
    <row r="97" customFormat="false" ht="15" hidden="false" customHeight="false" outlineLevel="0" collapsed="false">
      <c r="A97" s="8"/>
      <c r="B97" s="8"/>
      <c r="C97" s="8"/>
      <c r="D97" s="7" t="str">
        <f aca="false">IF(B97="","",COUNTIFS('Box Register'!$E:$E,$A97,'Box Register'!$F:$F,$B97))</f>
        <v/>
      </c>
      <c r="E97" s="8"/>
      <c r="F97" s="8"/>
      <c r="G97" s="9"/>
      <c r="H97" s="9"/>
      <c r="I97" s="10" t="str">
        <f aca="false">IF(H97="","",H97+'How to Use'!$B$19)</f>
        <v/>
      </c>
      <c r="J97" s="8"/>
      <c r="K97" s="9"/>
      <c r="L97" s="8"/>
      <c r="M97" s="8"/>
    </row>
    <row r="98" customFormat="false" ht="15" hidden="false" customHeight="false" outlineLevel="0" collapsed="false">
      <c r="A98" s="8"/>
      <c r="B98" s="8"/>
      <c r="C98" s="8"/>
      <c r="D98" s="7" t="str">
        <f aca="false">IF(B98="","",COUNTIFS('Box Register'!$E:$E,$A98,'Box Register'!$F:$F,$B98))</f>
        <v/>
      </c>
      <c r="E98" s="8"/>
      <c r="F98" s="8"/>
      <c r="G98" s="9"/>
      <c r="H98" s="9"/>
      <c r="I98" s="10" t="str">
        <f aca="false">IF(H98="","",H98+'How to Use'!$B$19)</f>
        <v/>
      </c>
      <c r="J98" s="8"/>
      <c r="K98" s="9"/>
      <c r="L98" s="8"/>
      <c r="M98" s="8"/>
    </row>
    <row r="99" customFormat="false" ht="15" hidden="false" customHeight="false" outlineLevel="0" collapsed="false">
      <c r="A99" s="8"/>
      <c r="B99" s="8"/>
      <c r="C99" s="8"/>
      <c r="D99" s="7" t="str">
        <f aca="false">IF(B99="","",COUNTIFS('Box Register'!$E:$E,$A99,'Box Register'!$F:$F,$B99))</f>
        <v/>
      </c>
      <c r="E99" s="8"/>
      <c r="F99" s="8"/>
      <c r="G99" s="9"/>
      <c r="H99" s="9"/>
      <c r="I99" s="10" t="str">
        <f aca="false">IF(H99="","",H99+'How to Use'!$B$19)</f>
        <v/>
      </c>
      <c r="J99" s="8"/>
      <c r="K99" s="9"/>
      <c r="L99" s="8"/>
      <c r="M99" s="8"/>
    </row>
    <row r="100" customFormat="false" ht="15" hidden="false" customHeight="false" outlineLevel="0" collapsed="false">
      <c r="A100" s="8"/>
      <c r="B100" s="8"/>
      <c r="C100" s="8"/>
      <c r="D100" s="7" t="str">
        <f aca="false">IF(B100="","",COUNTIFS('Box Register'!$E:$E,$A100,'Box Register'!$F:$F,$B100))</f>
        <v/>
      </c>
      <c r="E100" s="8"/>
      <c r="F100" s="8"/>
      <c r="G100" s="9"/>
      <c r="H100" s="9"/>
      <c r="I100" s="10" t="str">
        <f aca="false">IF(H100="","",H100+'How to Use'!$B$19)</f>
        <v/>
      </c>
      <c r="J100" s="8"/>
      <c r="K100" s="9"/>
      <c r="L100" s="8"/>
      <c r="M100" s="8"/>
    </row>
    <row r="101" customFormat="false" ht="15" hidden="false" customHeight="false" outlineLevel="0" collapsed="false">
      <c r="A101" s="8"/>
      <c r="B101" s="8"/>
      <c r="C101" s="8"/>
      <c r="D101" s="7" t="str">
        <f aca="false">IF(B101="","",COUNTIFS('Box Register'!$E:$E,$A101,'Box Register'!$F:$F,$B101))</f>
        <v/>
      </c>
      <c r="E101" s="8"/>
      <c r="F101" s="8"/>
      <c r="G101" s="9"/>
      <c r="H101" s="9"/>
      <c r="I101" s="10" t="str">
        <f aca="false">IF(H101="","",H101+'How to Use'!$B$19)</f>
        <v/>
      </c>
      <c r="J101" s="8"/>
      <c r="K101" s="9"/>
      <c r="L101" s="8"/>
      <c r="M101" s="8"/>
    </row>
    <row r="102" customFormat="false" ht="15" hidden="false" customHeight="false" outlineLevel="0" collapsed="false">
      <c r="A102" s="8"/>
      <c r="B102" s="8"/>
      <c r="C102" s="8"/>
      <c r="D102" s="7" t="str">
        <f aca="false">IF(B102="","",COUNTIFS('Box Register'!$E:$E,$A102,'Box Register'!$F:$F,$B102))</f>
        <v/>
      </c>
      <c r="E102" s="8"/>
      <c r="F102" s="8"/>
      <c r="G102" s="9"/>
      <c r="H102" s="9"/>
      <c r="I102" s="10" t="str">
        <f aca="false">IF(H102="","",H102+'How to Use'!$B$19)</f>
        <v/>
      </c>
      <c r="J102" s="8"/>
      <c r="K102" s="9"/>
      <c r="L102" s="8"/>
      <c r="M102" s="8"/>
    </row>
    <row r="103" customFormat="false" ht="15" hidden="false" customHeight="false" outlineLevel="0" collapsed="false">
      <c r="A103" s="8"/>
      <c r="B103" s="8"/>
      <c r="C103" s="8"/>
      <c r="D103" s="7" t="str">
        <f aca="false">IF(B103="","",COUNTIFS('Box Register'!$E:$E,$A103,'Box Register'!$F:$F,$B103))</f>
        <v/>
      </c>
      <c r="E103" s="8"/>
      <c r="F103" s="8"/>
      <c r="G103" s="9"/>
      <c r="H103" s="9"/>
      <c r="I103" s="10" t="str">
        <f aca="false">IF(H103="","",H103+'How to Use'!$B$19)</f>
        <v/>
      </c>
      <c r="J103" s="8"/>
      <c r="K103" s="9"/>
      <c r="L103" s="8"/>
      <c r="M103" s="8"/>
    </row>
    <row r="104" customFormat="false" ht="15" hidden="false" customHeight="false" outlineLevel="0" collapsed="false">
      <c r="A104" s="8"/>
      <c r="B104" s="8"/>
      <c r="C104" s="8"/>
      <c r="D104" s="7" t="str">
        <f aca="false">IF(B104="","",COUNTIFS('Box Register'!$E:$E,$A104,'Box Register'!$F:$F,$B104))</f>
        <v/>
      </c>
      <c r="E104" s="8"/>
      <c r="F104" s="8"/>
      <c r="G104" s="9"/>
      <c r="H104" s="9"/>
      <c r="I104" s="10" t="str">
        <f aca="false">IF(H104="","",H104+'How to Use'!$B$19)</f>
        <v/>
      </c>
      <c r="J104" s="8"/>
      <c r="K104" s="9"/>
      <c r="L104" s="8"/>
      <c r="M104" s="8"/>
    </row>
    <row r="105" customFormat="false" ht="15" hidden="false" customHeight="false" outlineLevel="0" collapsed="false">
      <c r="A105" s="8"/>
      <c r="B105" s="8"/>
      <c r="C105" s="8"/>
      <c r="D105" s="7" t="str">
        <f aca="false">IF(B105="","",COUNTIFS('Box Register'!$E:$E,$A105,'Box Register'!$F:$F,$B105))</f>
        <v/>
      </c>
      <c r="E105" s="8"/>
      <c r="F105" s="8"/>
      <c r="G105" s="9"/>
      <c r="H105" s="9"/>
      <c r="I105" s="10" t="str">
        <f aca="false">IF(H105="","",H105+'How to Use'!$B$19)</f>
        <v/>
      </c>
      <c r="J105" s="8"/>
      <c r="K105" s="9"/>
      <c r="L105" s="8"/>
      <c r="M105" s="8"/>
    </row>
    <row r="106" customFormat="false" ht="15" hidden="false" customHeight="false" outlineLevel="0" collapsed="false">
      <c r="A106" s="8"/>
      <c r="B106" s="8"/>
      <c r="C106" s="8"/>
      <c r="D106" s="7" t="str">
        <f aca="false">IF(B106="","",COUNTIFS('Box Register'!$E:$E,$A106,'Box Register'!$F:$F,$B106))</f>
        <v/>
      </c>
      <c r="E106" s="8"/>
      <c r="F106" s="8"/>
      <c r="G106" s="9"/>
      <c r="H106" s="9"/>
      <c r="I106" s="10" t="str">
        <f aca="false">IF(H106="","",H106+'How to Use'!$B$19)</f>
        <v/>
      </c>
      <c r="J106" s="8"/>
      <c r="K106" s="9"/>
      <c r="L106" s="8"/>
      <c r="M106" s="8"/>
    </row>
    <row r="107" customFormat="false" ht="15" hidden="false" customHeight="false" outlineLevel="0" collapsed="false">
      <c r="A107" s="8"/>
      <c r="B107" s="8"/>
      <c r="C107" s="8"/>
      <c r="D107" s="7" t="str">
        <f aca="false">IF(B107="","",COUNTIFS('Box Register'!$E:$E,$A107,'Box Register'!$F:$F,$B107))</f>
        <v/>
      </c>
      <c r="E107" s="8"/>
      <c r="F107" s="8"/>
      <c r="G107" s="9"/>
      <c r="H107" s="9"/>
      <c r="I107" s="10" t="str">
        <f aca="false">IF(H107="","",H107+'How to Use'!$B$19)</f>
        <v/>
      </c>
      <c r="J107" s="8"/>
      <c r="K107" s="9"/>
      <c r="L107" s="8"/>
      <c r="M107" s="8"/>
    </row>
    <row r="108" customFormat="false" ht="15" hidden="false" customHeight="false" outlineLevel="0" collapsed="false">
      <c r="A108" s="8"/>
      <c r="B108" s="8"/>
      <c r="C108" s="8"/>
      <c r="D108" s="7" t="str">
        <f aca="false">IF(B108="","",COUNTIFS('Box Register'!$E:$E,$A108,'Box Register'!$F:$F,$B108))</f>
        <v/>
      </c>
      <c r="E108" s="8"/>
      <c r="F108" s="8"/>
      <c r="G108" s="9"/>
      <c r="H108" s="9"/>
      <c r="I108" s="10" t="str">
        <f aca="false">IF(H108="","",H108+'How to Use'!$B$19)</f>
        <v/>
      </c>
      <c r="J108" s="8"/>
      <c r="K108" s="9"/>
      <c r="L108" s="8"/>
      <c r="M108" s="8"/>
    </row>
    <row r="109" customFormat="false" ht="15" hidden="false" customHeight="false" outlineLevel="0" collapsed="false">
      <c r="A109" s="8"/>
      <c r="B109" s="8"/>
      <c r="C109" s="8"/>
      <c r="D109" s="7" t="str">
        <f aca="false">IF(B109="","",COUNTIFS('Box Register'!$E:$E,$A109,'Box Register'!$F:$F,$B109))</f>
        <v/>
      </c>
      <c r="E109" s="8"/>
      <c r="F109" s="8"/>
      <c r="G109" s="9"/>
      <c r="H109" s="9"/>
      <c r="I109" s="10" t="str">
        <f aca="false">IF(H109="","",H109+'How to Use'!$B$19)</f>
        <v/>
      </c>
      <c r="J109" s="8"/>
      <c r="K109" s="9"/>
      <c r="L109" s="8"/>
      <c r="M109" s="8"/>
    </row>
    <row r="110" customFormat="false" ht="15" hidden="false" customHeight="false" outlineLevel="0" collapsed="false">
      <c r="A110" s="8"/>
      <c r="B110" s="8"/>
      <c r="C110" s="8"/>
      <c r="D110" s="7" t="str">
        <f aca="false">IF(B110="","",COUNTIFS('Box Register'!$E:$E,$A110,'Box Register'!$F:$F,$B110))</f>
        <v/>
      </c>
      <c r="E110" s="8"/>
      <c r="F110" s="8"/>
      <c r="G110" s="9"/>
      <c r="H110" s="9"/>
      <c r="I110" s="10" t="str">
        <f aca="false">IF(H110="","",H110+'How to Use'!$B$19)</f>
        <v/>
      </c>
      <c r="J110" s="8"/>
      <c r="K110" s="9"/>
      <c r="L110" s="8"/>
      <c r="M110" s="8"/>
    </row>
    <row r="111" customFormat="false" ht="15" hidden="false" customHeight="false" outlineLevel="0" collapsed="false">
      <c r="A111" s="8"/>
      <c r="B111" s="8"/>
      <c r="C111" s="8"/>
      <c r="D111" s="7" t="str">
        <f aca="false">IF(B111="","",COUNTIFS('Box Register'!$E:$E,$A111,'Box Register'!$F:$F,$B111))</f>
        <v/>
      </c>
      <c r="E111" s="8"/>
      <c r="F111" s="8"/>
      <c r="G111" s="9"/>
      <c r="H111" s="9"/>
      <c r="I111" s="10" t="str">
        <f aca="false">IF(H111="","",H111+'How to Use'!$B$19)</f>
        <v/>
      </c>
      <c r="J111" s="8"/>
      <c r="K111" s="9"/>
      <c r="L111" s="8"/>
      <c r="M111" s="8"/>
    </row>
    <row r="112" customFormat="false" ht="15" hidden="false" customHeight="false" outlineLevel="0" collapsed="false">
      <c r="A112" s="8"/>
      <c r="B112" s="8"/>
      <c r="C112" s="8"/>
      <c r="D112" s="7" t="str">
        <f aca="false">IF(B112="","",COUNTIFS('Box Register'!$E:$E,$A112,'Box Register'!$F:$F,$B112))</f>
        <v/>
      </c>
      <c r="E112" s="8"/>
      <c r="F112" s="8"/>
      <c r="G112" s="9"/>
      <c r="H112" s="9"/>
      <c r="I112" s="10" t="str">
        <f aca="false">IF(H112="","",H112+'How to Use'!$B$19)</f>
        <v/>
      </c>
      <c r="J112" s="8"/>
      <c r="K112" s="9"/>
      <c r="L112" s="8"/>
      <c r="M112" s="8"/>
    </row>
    <row r="113" customFormat="false" ht="15" hidden="false" customHeight="false" outlineLevel="0" collapsed="false">
      <c r="A113" s="8"/>
      <c r="B113" s="8"/>
      <c r="C113" s="8"/>
      <c r="D113" s="7" t="str">
        <f aca="false">IF(B113="","",COUNTIFS('Box Register'!$E:$E,$A113,'Box Register'!$F:$F,$B113))</f>
        <v/>
      </c>
      <c r="E113" s="8"/>
      <c r="F113" s="8"/>
      <c r="G113" s="9"/>
      <c r="H113" s="9"/>
      <c r="I113" s="10" t="str">
        <f aca="false">IF(H113="","",H113+'How to Use'!$B$19)</f>
        <v/>
      </c>
      <c r="J113" s="8"/>
      <c r="K113" s="9"/>
      <c r="L113" s="8"/>
      <c r="M113" s="8"/>
    </row>
    <row r="114" customFormat="false" ht="15" hidden="false" customHeight="false" outlineLevel="0" collapsed="false">
      <c r="A114" s="8"/>
      <c r="B114" s="8"/>
      <c r="C114" s="8"/>
      <c r="D114" s="7" t="str">
        <f aca="false">IF(B114="","",COUNTIFS('Box Register'!$E:$E,$A114,'Box Register'!$F:$F,$B114))</f>
        <v/>
      </c>
      <c r="E114" s="8"/>
      <c r="F114" s="8"/>
      <c r="G114" s="9"/>
      <c r="H114" s="9"/>
      <c r="I114" s="10" t="str">
        <f aca="false">IF(H114="","",H114+'How to Use'!$B$19)</f>
        <v/>
      </c>
      <c r="J114" s="8"/>
      <c r="K114" s="9"/>
      <c r="L114" s="8"/>
      <c r="M114" s="8"/>
    </row>
    <row r="115" customFormat="false" ht="15" hidden="false" customHeight="false" outlineLevel="0" collapsed="false">
      <c r="A115" s="8"/>
      <c r="B115" s="8"/>
      <c r="C115" s="8"/>
      <c r="D115" s="7" t="str">
        <f aca="false">IF(B115="","",COUNTIFS('Box Register'!$E:$E,$A115,'Box Register'!$F:$F,$B115))</f>
        <v/>
      </c>
      <c r="E115" s="8"/>
      <c r="F115" s="8"/>
      <c r="G115" s="9"/>
      <c r="H115" s="9"/>
      <c r="I115" s="10" t="str">
        <f aca="false">IF(H115="","",H115+'How to Use'!$B$19)</f>
        <v/>
      </c>
      <c r="J115" s="8"/>
      <c r="K115" s="9"/>
      <c r="L115" s="8"/>
      <c r="M115" s="8"/>
    </row>
    <row r="116" customFormat="false" ht="15" hidden="false" customHeight="false" outlineLevel="0" collapsed="false">
      <c r="A116" s="8"/>
      <c r="B116" s="8"/>
      <c r="C116" s="8"/>
      <c r="D116" s="7" t="str">
        <f aca="false">IF(B116="","",COUNTIFS('Box Register'!$E:$E,$A116,'Box Register'!$F:$F,$B116))</f>
        <v/>
      </c>
      <c r="E116" s="8"/>
      <c r="F116" s="8"/>
      <c r="G116" s="9"/>
      <c r="H116" s="9"/>
      <c r="I116" s="10" t="str">
        <f aca="false">IF(H116="","",H116+'How to Use'!$B$19)</f>
        <v/>
      </c>
      <c r="J116" s="8"/>
      <c r="K116" s="9"/>
      <c r="L116" s="8"/>
      <c r="M116" s="8"/>
    </row>
    <row r="117" customFormat="false" ht="15" hidden="false" customHeight="false" outlineLevel="0" collapsed="false">
      <c r="A117" s="8"/>
      <c r="B117" s="8"/>
      <c r="C117" s="8"/>
      <c r="D117" s="7" t="str">
        <f aca="false">IF(B117="","",COUNTIFS('Box Register'!$E:$E,$A117,'Box Register'!$F:$F,$B117))</f>
        <v/>
      </c>
      <c r="E117" s="8"/>
      <c r="F117" s="8"/>
      <c r="G117" s="9"/>
      <c r="H117" s="9"/>
      <c r="I117" s="10" t="str">
        <f aca="false">IF(H117="","",H117+'How to Use'!$B$19)</f>
        <v/>
      </c>
      <c r="J117" s="8"/>
      <c r="K117" s="9"/>
      <c r="L117" s="8"/>
      <c r="M117" s="8"/>
    </row>
    <row r="118" customFormat="false" ht="15" hidden="false" customHeight="false" outlineLevel="0" collapsed="false">
      <c r="A118" s="8"/>
      <c r="B118" s="8"/>
      <c r="C118" s="8"/>
      <c r="D118" s="7" t="str">
        <f aca="false">IF(B118="","",COUNTIFS('Box Register'!$E:$E,$A118,'Box Register'!$F:$F,$B118))</f>
        <v/>
      </c>
      <c r="E118" s="8"/>
      <c r="F118" s="8"/>
      <c r="G118" s="9"/>
      <c r="H118" s="9"/>
      <c r="I118" s="10" t="str">
        <f aca="false">IF(H118="","",H118+'How to Use'!$B$19)</f>
        <v/>
      </c>
      <c r="J118" s="8"/>
      <c r="K118" s="9"/>
      <c r="L118" s="8"/>
      <c r="M118" s="8"/>
    </row>
    <row r="119" customFormat="false" ht="15" hidden="false" customHeight="false" outlineLevel="0" collapsed="false">
      <c r="A119" s="8"/>
      <c r="B119" s="8"/>
      <c r="C119" s="8"/>
      <c r="D119" s="7" t="str">
        <f aca="false">IF(B119="","",COUNTIFS('Box Register'!$E:$E,$A119,'Box Register'!$F:$F,$B119))</f>
        <v/>
      </c>
      <c r="E119" s="8"/>
      <c r="F119" s="8"/>
      <c r="G119" s="9"/>
      <c r="H119" s="9"/>
      <c r="I119" s="10" t="str">
        <f aca="false">IF(H119="","",H119+'How to Use'!$B$19)</f>
        <v/>
      </c>
      <c r="J119" s="8"/>
      <c r="K119" s="9"/>
      <c r="L119" s="8"/>
      <c r="M119" s="8"/>
    </row>
    <row r="120" customFormat="false" ht="15" hidden="false" customHeight="false" outlineLevel="0" collapsed="false">
      <c r="A120" s="8"/>
      <c r="B120" s="8"/>
      <c r="C120" s="8"/>
      <c r="D120" s="7" t="str">
        <f aca="false">IF(B120="","",COUNTIFS('Box Register'!$E:$E,$A120,'Box Register'!$F:$F,$B120))</f>
        <v/>
      </c>
      <c r="E120" s="8"/>
      <c r="F120" s="8"/>
      <c r="G120" s="9"/>
      <c r="H120" s="9"/>
      <c r="I120" s="10" t="str">
        <f aca="false">IF(H120="","",H120+'How to Use'!$B$19)</f>
        <v/>
      </c>
      <c r="J120" s="8"/>
      <c r="K120" s="9"/>
      <c r="L120" s="8"/>
      <c r="M120" s="8"/>
    </row>
    <row r="121" customFormat="false" ht="15" hidden="false" customHeight="false" outlineLevel="0" collapsed="false">
      <c r="A121" s="8"/>
      <c r="B121" s="8"/>
      <c r="C121" s="8"/>
      <c r="D121" s="7" t="str">
        <f aca="false">IF(B121="","",COUNTIFS('Box Register'!$E:$E,$A121,'Box Register'!$F:$F,$B121))</f>
        <v/>
      </c>
      <c r="E121" s="8"/>
      <c r="F121" s="8"/>
      <c r="G121" s="9"/>
      <c r="H121" s="9"/>
      <c r="I121" s="10" t="str">
        <f aca="false">IF(H121="","",H121+'How to Use'!$B$19)</f>
        <v/>
      </c>
      <c r="J121" s="8"/>
      <c r="K121" s="9"/>
      <c r="L121" s="8"/>
      <c r="M121" s="8"/>
    </row>
    <row r="122" customFormat="false" ht="15" hidden="false" customHeight="false" outlineLevel="0" collapsed="false">
      <c r="A122" s="8"/>
      <c r="B122" s="8"/>
      <c r="C122" s="8"/>
      <c r="D122" s="7" t="str">
        <f aca="false">IF(B122="","",COUNTIFS('Box Register'!$E:$E,$A122,'Box Register'!$F:$F,$B122))</f>
        <v/>
      </c>
      <c r="E122" s="8"/>
      <c r="F122" s="8"/>
      <c r="G122" s="9"/>
      <c r="H122" s="9"/>
      <c r="I122" s="10" t="str">
        <f aca="false">IF(H122="","",H122+'How to Use'!$B$19)</f>
        <v/>
      </c>
      <c r="J122" s="8"/>
      <c r="K122" s="9"/>
      <c r="L122" s="8"/>
      <c r="M122" s="8"/>
    </row>
    <row r="123" customFormat="false" ht="15" hidden="false" customHeight="false" outlineLevel="0" collapsed="false">
      <c r="A123" s="8"/>
      <c r="B123" s="8"/>
      <c r="C123" s="8"/>
      <c r="D123" s="7" t="str">
        <f aca="false">IF(B123="","",COUNTIFS('Box Register'!$E:$E,$A123,'Box Register'!$F:$F,$B123))</f>
        <v/>
      </c>
      <c r="E123" s="8"/>
      <c r="F123" s="8"/>
      <c r="G123" s="9"/>
      <c r="H123" s="9"/>
      <c r="I123" s="10" t="str">
        <f aca="false">IF(H123="","",H123+'How to Use'!$B$19)</f>
        <v/>
      </c>
      <c r="J123" s="8"/>
      <c r="K123" s="9"/>
      <c r="L123" s="8"/>
      <c r="M123" s="8"/>
    </row>
    <row r="124" customFormat="false" ht="15" hidden="false" customHeight="false" outlineLevel="0" collapsed="false">
      <c r="A124" s="8"/>
      <c r="B124" s="8"/>
      <c r="C124" s="8"/>
      <c r="D124" s="7" t="str">
        <f aca="false">IF(B124="","",COUNTIFS('Box Register'!$E:$E,$A124,'Box Register'!$F:$F,$B124))</f>
        <v/>
      </c>
      <c r="E124" s="8"/>
      <c r="F124" s="8"/>
      <c r="G124" s="9"/>
      <c r="H124" s="9"/>
      <c r="I124" s="10" t="str">
        <f aca="false">IF(H124="","",H124+'How to Use'!$B$19)</f>
        <v/>
      </c>
      <c r="J124" s="8"/>
      <c r="K124" s="9"/>
      <c r="L124" s="8"/>
      <c r="M124" s="8"/>
    </row>
    <row r="125" customFormat="false" ht="15" hidden="false" customHeight="false" outlineLevel="0" collapsed="false">
      <c r="A125" s="8"/>
      <c r="B125" s="8"/>
      <c r="C125" s="8"/>
      <c r="D125" s="7" t="str">
        <f aca="false">IF(B125="","",COUNTIFS('Box Register'!$E:$E,$A125,'Box Register'!$F:$F,$B125))</f>
        <v/>
      </c>
      <c r="E125" s="8"/>
      <c r="F125" s="8"/>
      <c r="G125" s="9"/>
      <c r="H125" s="9"/>
      <c r="I125" s="10" t="str">
        <f aca="false">IF(H125="","",H125+'How to Use'!$B$19)</f>
        <v/>
      </c>
      <c r="J125" s="8"/>
      <c r="K125" s="9"/>
      <c r="L125" s="8"/>
      <c r="M125" s="8"/>
    </row>
    <row r="126" customFormat="false" ht="15" hidden="false" customHeight="false" outlineLevel="0" collapsed="false">
      <c r="A126" s="8"/>
      <c r="B126" s="8"/>
      <c r="C126" s="8"/>
      <c r="D126" s="7" t="str">
        <f aca="false">IF(B126="","",COUNTIFS('Box Register'!$E:$E,$A126,'Box Register'!$F:$F,$B126))</f>
        <v/>
      </c>
      <c r="E126" s="8"/>
      <c r="F126" s="8"/>
      <c r="G126" s="9"/>
      <c r="H126" s="9"/>
      <c r="I126" s="10" t="str">
        <f aca="false">IF(H126="","",H126+'How to Use'!$B$19)</f>
        <v/>
      </c>
      <c r="J126" s="8"/>
      <c r="K126" s="9"/>
      <c r="L126" s="8"/>
      <c r="M126" s="8"/>
    </row>
    <row r="127" customFormat="false" ht="15" hidden="false" customHeight="false" outlineLevel="0" collapsed="false">
      <c r="A127" s="8"/>
      <c r="B127" s="8"/>
      <c r="C127" s="8"/>
      <c r="D127" s="7" t="str">
        <f aca="false">IF(B127="","",COUNTIFS('Box Register'!$E:$E,$A127,'Box Register'!$F:$F,$B127))</f>
        <v/>
      </c>
      <c r="E127" s="8"/>
      <c r="F127" s="8"/>
      <c r="G127" s="9"/>
      <c r="H127" s="9"/>
      <c r="I127" s="10" t="str">
        <f aca="false">IF(H127="","",H127+'How to Use'!$B$19)</f>
        <v/>
      </c>
      <c r="J127" s="8"/>
      <c r="K127" s="9"/>
      <c r="L127" s="8"/>
      <c r="M127" s="8"/>
    </row>
    <row r="128" customFormat="false" ht="15" hidden="false" customHeight="false" outlineLevel="0" collapsed="false">
      <c r="A128" s="8"/>
      <c r="B128" s="8"/>
      <c r="C128" s="8"/>
      <c r="D128" s="7" t="str">
        <f aca="false">IF(B128="","",COUNTIFS('Box Register'!$E:$E,$A128,'Box Register'!$F:$F,$B128))</f>
        <v/>
      </c>
      <c r="E128" s="8"/>
      <c r="F128" s="8"/>
      <c r="G128" s="9"/>
      <c r="H128" s="9"/>
      <c r="I128" s="10" t="str">
        <f aca="false">IF(H128="","",H128+'How to Use'!$B$19)</f>
        <v/>
      </c>
      <c r="J128" s="8"/>
      <c r="K128" s="9"/>
      <c r="L128" s="8"/>
      <c r="M128" s="8"/>
    </row>
    <row r="129" customFormat="false" ht="15" hidden="false" customHeight="false" outlineLevel="0" collapsed="false">
      <c r="A129" s="8"/>
      <c r="B129" s="8"/>
      <c r="C129" s="8"/>
      <c r="D129" s="7" t="str">
        <f aca="false">IF(B129="","",COUNTIFS('Box Register'!$E:$E,$A129,'Box Register'!$F:$F,$B129))</f>
        <v/>
      </c>
      <c r="E129" s="8"/>
      <c r="F129" s="8"/>
      <c r="G129" s="9"/>
      <c r="H129" s="9"/>
      <c r="I129" s="10" t="str">
        <f aca="false">IF(H129="","",H129+'How to Use'!$B$19)</f>
        <v/>
      </c>
      <c r="J129" s="8"/>
      <c r="K129" s="9"/>
      <c r="L129" s="8"/>
      <c r="M129" s="8"/>
    </row>
    <row r="130" customFormat="false" ht="15" hidden="false" customHeight="false" outlineLevel="0" collapsed="false">
      <c r="A130" s="8"/>
      <c r="B130" s="8"/>
      <c r="C130" s="8"/>
      <c r="D130" s="7" t="str">
        <f aca="false">IF(B130="","",COUNTIFS('Box Register'!$E:$E,$A130,'Box Register'!$F:$F,$B130))</f>
        <v/>
      </c>
      <c r="E130" s="8"/>
      <c r="F130" s="8"/>
      <c r="G130" s="9"/>
      <c r="H130" s="9"/>
      <c r="I130" s="10" t="str">
        <f aca="false">IF(H130="","",H130+'How to Use'!$B$19)</f>
        <v/>
      </c>
      <c r="J130" s="8"/>
      <c r="K130" s="9"/>
      <c r="L130" s="8"/>
      <c r="M130" s="8"/>
    </row>
    <row r="131" customFormat="false" ht="15" hidden="false" customHeight="false" outlineLevel="0" collapsed="false">
      <c r="A131" s="8"/>
      <c r="B131" s="8"/>
      <c r="C131" s="8"/>
      <c r="D131" s="7" t="str">
        <f aca="false">IF(B131="","",COUNTIFS('Box Register'!$E:$E,$A131,'Box Register'!$F:$F,$B131))</f>
        <v/>
      </c>
      <c r="E131" s="8"/>
      <c r="F131" s="8"/>
      <c r="G131" s="9"/>
      <c r="H131" s="9"/>
      <c r="I131" s="10" t="str">
        <f aca="false">IF(H131="","",H131+'How to Use'!$B$19)</f>
        <v/>
      </c>
      <c r="J131" s="8"/>
      <c r="K131" s="9"/>
      <c r="L131" s="8"/>
      <c r="M131" s="8"/>
    </row>
    <row r="132" customFormat="false" ht="15" hidden="false" customHeight="false" outlineLevel="0" collapsed="false">
      <c r="A132" s="8"/>
      <c r="B132" s="8"/>
      <c r="C132" s="8"/>
      <c r="D132" s="7" t="str">
        <f aca="false">IF(B132="","",COUNTIFS('Box Register'!$E:$E,$A132,'Box Register'!$F:$F,$B132))</f>
        <v/>
      </c>
      <c r="E132" s="8"/>
      <c r="F132" s="8"/>
      <c r="G132" s="9"/>
      <c r="H132" s="9"/>
      <c r="I132" s="10" t="str">
        <f aca="false">IF(H132="","",H132+'How to Use'!$B$19)</f>
        <v/>
      </c>
      <c r="J132" s="8"/>
      <c r="K132" s="9"/>
      <c r="L132" s="8"/>
      <c r="M132" s="8"/>
    </row>
    <row r="133" customFormat="false" ht="15" hidden="false" customHeight="false" outlineLevel="0" collapsed="false">
      <c r="A133" s="8"/>
      <c r="B133" s="8"/>
      <c r="C133" s="8"/>
      <c r="D133" s="7" t="str">
        <f aca="false">IF(B133="","",COUNTIFS('Box Register'!$E:$E,$A133,'Box Register'!$F:$F,$B133))</f>
        <v/>
      </c>
      <c r="E133" s="8"/>
      <c r="F133" s="8"/>
      <c r="G133" s="9"/>
      <c r="H133" s="9"/>
      <c r="I133" s="10" t="str">
        <f aca="false">IF(H133="","",H133+'How to Use'!$B$19)</f>
        <v/>
      </c>
      <c r="J133" s="8"/>
      <c r="K133" s="9"/>
      <c r="L133" s="8"/>
      <c r="M133" s="8"/>
    </row>
    <row r="134" customFormat="false" ht="15" hidden="false" customHeight="false" outlineLevel="0" collapsed="false">
      <c r="A134" s="8"/>
      <c r="B134" s="8"/>
      <c r="C134" s="8"/>
      <c r="D134" s="7" t="str">
        <f aca="false">IF(B134="","",COUNTIFS('Box Register'!$E:$E,$A134,'Box Register'!$F:$F,$B134))</f>
        <v/>
      </c>
      <c r="E134" s="8"/>
      <c r="F134" s="8"/>
      <c r="G134" s="9"/>
      <c r="H134" s="9"/>
      <c r="I134" s="10" t="str">
        <f aca="false">IF(H134="","",H134+'How to Use'!$B$19)</f>
        <v/>
      </c>
      <c r="J134" s="8"/>
      <c r="K134" s="9"/>
      <c r="L134" s="8"/>
      <c r="M134" s="8"/>
    </row>
    <row r="135" customFormat="false" ht="15" hidden="false" customHeight="false" outlineLevel="0" collapsed="false">
      <c r="A135" s="8"/>
      <c r="B135" s="8"/>
      <c r="C135" s="8"/>
      <c r="D135" s="7" t="str">
        <f aca="false">IF(B135="","",COUNTIFS('Box Register'!$E:$E,$A135,'Box Register'!$F:$F,$B135))</f>
        <v/>
      </c>
      <c r="E135" s="8"/>
      <c r="F135" s="8"/>
      <c r="G135" s="9"/>
      <c r="H135" s="9"/>
      <c r="I135" s="10" t="str">
        <f aca="false">IF(H135="","",H135+'How to Use'!$B$19)</f>
        <v/>
      </c>
      <c r="J135" s="8"/>
      <c r="K135" s="9"/>
      <c r="L135" s="8"/>
      <c r="M135" s="8"/>
    </row>
    <row r="136" customFormat="false" ht="15" hidden="false" customHeight="false" outlineLevel="0" collapsed="false">
      <c r="A136" s="8"/>
      <c r="B136" s="8"/>
      <c r="C136" s="8"/>
      <c r="D136" s="7" t="str">
        <f aca="false">IF(B136="","",COUNTIFS('Box Register'!$E:$E,$A136,'Box Register'!$F:$F,$B136))</f>
        <v/>
      </c>
      <c r="E136" s="8"/>
      <c r="F136" s="8"/>
      <c r="G136" s="9"/>
      <c r="H136" s="9"/>
      <c r="I136" s="10" t="str">
        <f aca="false">IF(H136="","",H136+'How to Use'!$B$19)</f>
        <v/>
      </c>
      <c r="J136" s="8"/>
      <c r="K136" s="9"/>
      <c r="L136" s="8"/>
      <c r="M136" s="8"/>
    </row>
    <row r="137" customFormat="false" ht="15" hidden="false" customHeight="false" outlineLevel="0" collapsed="false">
      <c r="A137" s="8"/>
      <c r="B137" s="8"/>
      <c r="C137" s="8"/>
      <c r="D137" s="7" t="str">
        <f aca="false">IF(B137="","",COUNTIFS('Box Register'!$E:$E,$A137,'Box Register'!$F:$F,$B137))</f>
        <v/>
      </c>
      <c r="E137" s="8"/>
      <c r="F137" s="8"/>
      <c r="G137" s="9"/>
      <c r="H137" s="9"/>
      <c r="I137" s="10" t="str">
        <f aca="false">IF(H137="","",H137+'How to Use'!$B$19)</f>
        <v/>
      </c>
      <c r="J137" s="8"/>
      <c r="K137" s="9"/>
      <c r="L137" s="8"/>
      <c r="M137" s="8"/>
    </row>
    <row r="138" customFormat="false" ht="15" hidden="false" customHeight="false" outlineLevel="0" collapsed="false">
      <c r="A138" s="8"/>
      <c r="B138" s="8"/>
      <c r="C138" s="8"/>
      <c r="D138" s="7" t="str">
        <f aca="false">IF(B138="","",COUNTIFS('Box Register'!$E:$E,$A138,'Box Register'!$F:$F,$B138))</f>
        <v/>
      </c>
      <c r="E138" s="8"/>
      <c r="F138" s="8"/>
      <c r="G138" s="9"/>
      <c r="H138" s="9"/>
      <c r="I138" s="10" t="str">
        <f aca="false">IF(H138="","",H138+'How to Use'!$B$19)</f>
        <v/>
      </c>
      <c r="J138" s="8"/>
      <c r="K138" s="9"/>
      <c r="L138" s="8"/>
      <c r="M138" s="8"/>
    </row>
    <row r="139" customFormat="false" ht="15" hidden="false" customHeight="false" outlineLevel="0" collapsed="false">
      <c r="A139" s="8"/>
      <c r="B139" s="8"/>
      <c r="C139" s="8"/>
      <c r="D139" s="7" t="str">
        <f aca="false">IF(B139="","",COUNTIFS('Box Register'!$E:$E,$A139,'Box Register'!$F:$F,$B139))</f>
        <v/>
      </c>
      <c r="E139" s="8"/>
      <c r="F139" s="8"/>
      <c r="G139" s="9"/>
      <c r="H139" s="9"/>
      <c r="I139" s="10" t="str">
        <f aca="false">IF(H139="","",H139+'How to Use'!$B$19)</f>
        <v/>
      </c>
      <c r="J139" s="8"/>
      <c r="K139" s="9"/>
      <c r="L139" s="8"/>
      <c r="M139" s="8"/>
    </row>
    <row r="140" customFormat="false" ht="15" hidden="false" customHeight="false" outlineLevel="0" collapsed="false">
      <c r="A140" s="8"/>
      <c r="B140" s="8"/>
      <c r="C140" s="8"/>
      <c r="D140" s="7" t="str">
        <f aca="false">IF(B140="","",COUNTIFS('Box Register'!$E:$E,$A140,'Box Register'!$F:$F,$B140))</f>
        <v/>
      </c>
      <c r="E140" s="8"/>
      <c r="F140" s="8"/>
      <c r="G140" s="9"/>
      <c r="H140" s="9"/>
      <c r="I140" s="10" t="str">
        <f aca="false">IF(H140="","",H140+'How to Use'!$B$19)</f>
        <v/>
      </c>
      <c r="J140" s="8"/>
      <c r="K140" s="9"/>
      <c r="L140" s="8"/>
      <c r="M140" s="8"/>
    </row>
    <row r="141" customFormat="false" ht="15" hidden="false" customHeight="false" outlineLevel="0" collapsed="false">
      <c r="A141" s="8"/>
      <c r="B141" s="8"/>
      <c r="C141" s="8"/>
      <c r="D141" s="7" t="str">
        <f aca="false">IF(B141="","",COUNTIFS('Box Register'!$E:$E,$A141,'Box Register'!$F:$F,$B141))</f>
        <v/>
      </c>
      <c r="E141" s="8"/>
      <c r="F141" s="8"/>
      <c r="G141" s="9"/>
      <c r="H141" s="9"/>
      <c r="I141" s="10" t="str">
        <f aca="false">IF(H141="","",H141+'How to Use'!$B$19)</f>
        <v/>
      </c>
      <c r="J141" s="8"/>
      <c r="K141" s="9"/>
      <c r="L141" s="8"/>
      <c r="M141" s="8"/>
    </row>
    <row r="142" customFormat="false" ht="15" hidden="false" customHeight="false" outlineLevel="0" collapsed="false">
      <c r="A142" s="8"/>
      <c r="B142" s="8"/>
      <c r="C142" s="8"/>
      <c r="D142" s="7" t="str">
        <f aca="false">IF(B142="","",COUNTIFS('Box Register'!$E:$E,$A142,'Box Register'!$F:$F,$B142))</f>
        <v/>
      </c>
      <c r="E142" s="8"/>
      <c r="F142" s="8"/>
      <c r="G142" s="9"/>
      <c r="H142" s="9"/>
      <c r="I142" s="10" t="str">
        <f aca="false">IF(H142="","",H142+'How to Use'!$B$19)</f>
        <v/>
      </c>
      <c r="J142" s="8"/>
      <c r="K142" s="9"/>
      <c r="L142" s="8"/>
      <c r="M142" s="8"/>
    </row>
    <row r="143" customFormat="false" ht="15" hidden="false" customHeight="false" outlineLevel="0" collapsed="false">
      <c r="A143" s="8"/>
      <c r="B143" s="8"/>
      <c r="C143" s="8"/>
      <c r="D143" s="7" t="str">
        <f aca="false">IF(B143="","",COUNTIFS('Box Register'!$E:$E,$A143,'Box Register'!$F:$F,$B143))</f>
        <v/>
      </c>
      <c r="E143" s="8"/>
      <c r="F143" s="8"/>
      <c r="G143" s="9"/>
      <c r="H143" s="9"/>
      <c r="I143" s="10" t="str">
        <f aca="false">IF(H143="","",H143+'How to Use'!$B$19)</f>
        <v/>
      </c>
      <c r="J143" s="8"/>
      <c r="K143" s="9"/>
      <c r="L143" s="8"/>
      <c r="M143" s="8"/>
    </row>
    <row r="144" customFormat="false" ht="15" hidden="false" customHeight="false" outlineLevel="0" collapsed="false">
      <c r="A144" s="8"/>
      <c r="B144" s="8"/>
      <c r="C144" s="8"/>
      <c r="D144" s="7" t="str">
        <f aca="false">IF(B144="","",COUNTIFS('Box Register'!$E:$E,$A144,'Box Register'!$F:$F,$B144))</f>
        <v/>
      </c>
      <c r="E144" s="8"/>
      <c r="F144" s="8"/>
      <c r="G144" s="9"/>
      <c r="H144" s="9"/>
      <c r="I144" s="10" t="str">
        <f aca="false">IF(H144="","",H144+'How to Use'!$B$19)</f>
        <v/>
      </c>
      <c r="J144" s="8"/>
      <c r="K144" s="9"/>
      <c r="L144" s="8"/>
      <c r="M144" s="8"/>
    </row>
    <row r="145" customFormat="false" ht="15" hidden="false" customHeight="false" outlineLevel="0" collapsed="false">
      <c r="A145" s="8"/>
      <c r="B145" s="8"/>
      <c r="C145" s="8"/>
      <c r="D145" s="7" t="str">
        <f aca="false">IF(B145="","",COUNTIFS('Box Register'!$E:$E,$A145,'Box Register'!$F:$F,$B145))</f>
        <v/>
      </c>
      <c r="E145" s="8"/>
      <c r="F145" s="8"/>
      <c r="G145" s="9"/>
      <c r="H145" s="9"/>
      <c r="I145" s="10" t="str">
        <f aca="false">IF(H145="","",H145+'How to Use'!$B$19)</f>
        <v/>
      </c>
      <c r="J145" s="8"/>
      <c r="K145" s="9"/>
      <c r="L145" s="8"/>
      <c r="M145" s="8"/>
    </row>
    <row r="146" customFormat="false" ht="15" hidden="false" customHeight="false" outlineLevel="0" collapsed="false">
      <c r="A146" s="8"/>
      <c r="B146" s="8"/>
      <c r="C146" s="8"/>
      <c r="D146" s="7" t="str">
        <f aca="false">IF(B146="","",COUNTIFS('Box Register'!$E:$E,$A146,'Box Register'!$F:$F,$B146))</f>
        <v/>
      </c>
      <c r="E146" s="8"/>
      <c r="F146" s="8"/>
      <c r="G146" s="9"/>
      <c r="H146" s="9"/>
      <c r="I146" s="10" t="str">
        <f aca="false">IF(H146="","",H146+'How to Use'!$B$19)</f>
        <v/>
      </c>
      <c r="J146" s="8"/>
      <c r="K146" s="9"/>
      <c r="L146" s="8"/>
      <c r="M146" s="8"/>
    </row>
    <row r="147" customFormat="false" ht="15" hidden="false" customHeight="false" outlineLevel="0" collapsed="false">
      <c r="A147" s="8"/>
      <c r="B147" s="8"/>
      <c r="C147" s="8"/>
      <c r="D147" s="7" t="str">
        <f aca="false">IF(B147="","",COUNTIFS('Box Register'!$E:$E,$A147,'Box Register'!$F:$F,$B147))</f>
        <v/>
      </c>
      <c r="E147" s="8"/>
      <c r="F147" s="8"/>
      <c r="G147" s="9"/>
      <c r="H147" s="9"/>
      <c r="I147" s="10" t="str">
        <f aca="false">IF(H147="","",H147+'How to Use'!$B$19)</f>
        <v/>
      </c>
      <c r="J147" s="8"/>
      <c r="K147" s="9"/>
      <c r="L147" s="8"/>
      <c r="M147" s="8"/>
    </row>
    <row r="148" customFormat="false" ht="15" hidden="false" customHeight="false" outlineLevel="0" collapsed="false">
      <c r="A148" s="8"/>
      <c r="B148" s="8"/>
      <c r="C148" s="8"/>
      <c r="D148" s="7" t="str">
        <f aca="false">IF(B148="","",COUNTIFS('Box Register'!$E:$E,$A148,'Box Register'!$F:$F,$B148))</f>
        <v/>
      </c>
      <c r="E148" s="8"/>
      <c r="F148" s="8"/>
      <c r="G148" s="9"/>
      <c r="H148" s="9"/>
      <c r="I148" s="10" t="str">
        <f aca="false">IF(H148="","",H148+'How to Use'!$B$19)</f>
        <v/>
      </c>
      <c r="J148" s="8"/>
      <c r="K148" s="9"/>
      <c r="L148" s="8"/>
      <c r="M148" s="8"/>
    </row>
    <row r="149" customFormat="false" ht="15" hidden="false" customHeight="false" outlineLevel="0" collapsed="false">
      <c r="A149" s="8"/>
      <c r="B149" s="8"/>
      <c r="C149" s="8"/>
      <c r="D149" s="7" t="str">
        <f aca="false">IF(B149="","",COUNTIFS('Box Register'!$E:$E,$A149,'Box Register'!$F:$F,$B149))</f>
        <v/>
      </c>
      <c r="E149" s="8"/>
      <c r="F149" s="8"/>
      <c r="G149" s="9"/>
      <c r="H149" s="9"/>
      <c r="I149" s="10" t="str">
        <f aca="false">IF(H149="","",H149+'How to Use'!$B$19)</f>
        <v/>
      </c>
      <c r="J149" s="8"/>
      <c r="K149" s="9"/>
      <c r="L149" s="8"/>
      <c r="M149" s="8"/>
    </row>
    <row r="150" customFormat="false" ht="15" hidden="false" customHeight="false" outlineLevel="0" collapsed="false">
      <c r="A150" s="8"/>
      <c r="B150" s="8"/>
      <c r="C150" s="8"/>
      <c r="D150" s="7" t="str">
        <f aca="false">IF(B150="","",COUNTIFS('Box Register'!$E:$E,$A150,'Box Register'!$F:$F,$B150))</f>
        <v/>
      </c>
      <c r="E150" s="8"/>
      <c r="F150" s="8"/>
      <c r="G150" s="9"/>
      <c r="H150" s="9"/>
      <c r="I150" s="10" t="str">
        <f aca="false">IF(H150="","",H150+'How to Use'!$B$19)</f>
        <v/>
      </c>
      <c r="J150" s="8"/>
      <c r="K150" s="9"/>
      <c r="L150" s="8"/>
      <c r="M150" s="8"/>
    </row>
    <row r="151" customFormat="false" ht="15" hidden="false" customHeight="false" outlineLevel="0" collapsed="false">
      <c r="A151" s="8"/>
      <c r="B151" s="8"/>
      <c r="C151" s="8"/>
      <c r="D151" s="7" t="str">
        <f aca="false">IF(B151="","",COUNTIFS('Box Register'!$E:$E,$A151,'Box Register'!$F:$F,$B151))</f>
        <v/>
      </c>
      <c r="E151" s="8"/>
      <c r="F151" s="8"/>
      <c r="G151" s="9"/>
      <c r="H151" s="9"/>
      <c r="I151" s="10" t="str">
        <f aca="false">IF(H151="","",H151+'How to Use'!$B$19)</f>
        <v/>
      </c>
      <c r="J151" s="8"/>
      <c r="K151" s="9"/>
      <c r="L151" s="8"/>
      <c r="M151" s="8"/>
    </row>
    <row r="152" customFormat="false" ht="15" hidden="false" customHeight="false" outlineLevel="0" collapsed="false">
      <c r="A152" s="8"/>
      <c r="B152" s="8"/>
      <c r="C152" s="8"/>
      <c r="D152" s="7" t="str">
        <f aca="false">IF(B152="","",COUNTIFS('Box Register'!$E:$E,$A152,'Box Register'!$F:$F,$B152))</f>
        <v/>
      </c>
      <c r="E152" s="8"/>
      <c r="F152" s="8"/>
      <c r="G152" s="9"/>
      <c r="H152" s="9"/>
      <c r="I152" s="10" t="str">
        <f aca="false">IF(H152="","",H152+'How to Use'!$B$19)</f>
        <v/>
      </c>
      <c r="J152" s="8"/>
      <c r="K152" s="9"/>
      <c r="L152" s="8"/>
      <c r="M152" s="8"/>
    </row>
    <row r="153" customFormat="false" ht="15" hidden="false" customHeight="false" outlineLevel="0" collapsed="false">
      <c r="A153" s="8"/>
      <c r="B153" s="8"/>
      <c r="C153" s="8"/>
      <c r="D153" s="7" t="str">
        <f aca="false">IF(B153="","",COUNTIFS('Box Register'!$E:$E,$A153,'Box Register'!$F:$F,$B153))</f>
        <v/>
      </c>
      <c r="E153" s="8"/>
      <c r="F153" s="8"/>
      <c r="G153" s="9"/>
      <c r="H153" s="9"/>
      <c r="I153" s="10" t="str">
        <f aca="false">IF(H153="","",H153+'How to Use'!$B$19)</f>
        <v/>
      </c>
      <c r="J153" s="8"/>
      <c r="K153" s="9"/>
      <c r="L153" s="8"/>
      <c r="M153" s="8"/>
    </row>
    <row r="154" customFormat="false" ht="15" hidden="false" customHeight="false" outlineLevel="0" collapsed="false">
      <c r="A154" s="8"/>
      <c r="B154" s="8"/>
      <c r="C154" s="8"/>
      <c r="D154" s="7" t="str">
        <f aca="false">IF(B154="","",COUNTIFS('Box Register'!$E:$E,$A154,'Box Register'!$F:$F,$B154))</f>
        <v/>
      </c>
      <c r="E154" s="8"/>
      <c r="F154" s="8"/>
      <c r="G154" s="9"/>
      <c r="H154" s="9"/>
      <c r="I154" s="10" t="str">
        <f aca="false">IF(H154="","",H154+'How to Use'!$B$19)</f>
        <v/>
      </c>
      <c r="J154" s="8"/>
      <c r="K154" s="9"/>
      <c r="L154" s="8"/>
      <c r="M154" s="8"/>
    </row>
    <row r="155" customFormat="false" ht="15" hidden="false" customHeight="false" outlineLevel="0" collapsed="false">
      <c r="A155" s="8"/>
      <c r="B155" s="8"/>
      <c r="C155" s="8"/>
      <c r="D155" s="7" t="str">
        <f aca="false">IF(B155="","",COUNTIFS('Box Register'!$E:$E,$A155,'Box Register'!$F:$F,$B155))</f>
        <v/>
      </c>
      <c r="E155" s="8"/>
      <c r="F155" s="8"/>
      <c r="G155" s="9"/>
      <c r="H155" s="9"/>
      <c r="I155" s="10" t="str">
        <f aca="false">IF(H155="","",H155+'How to Use'!$B$19)</f>
        <v/>
      </c>
      <c r="J155" s="8"/>
      <c r="K155" s="9"/>
      <c r="L155" s="8"/>
      <c r="M155" s="8"/>
    </row>
    <row r="156" customFormat="false" ht="15" hidden="false" customHeight="false" outlineLevel="0" collapsed="false">
      <c r="A156" s="8"/>
      <c r="B156" s="8"/>
      <c r="C156" s="8"/>
      <c r="D156" s="7" t="str">
        <f aca="false">IF(B156="","",COUNTIFS('Box Register'!$E:$E,$A156,'Box Register'!$F:$F,$B156))</f>
        <v/>
      </c>
      <c r="E156" s="8"/>
      <c r="F156" s="8"/>
      <c r="G156" s="9"/>
      <c r="H156" s="9"/>
      <c r="I156" s="10" t="str">
        <f aca="false">IF(H156="","",H156+'How to Use'!$B$19)</f>
        <v/>
      </c>
      <c r="J156" s="8"/>
      <c r="K156" s="9"/>
      <c r="L156" s="8"/>
      <c r="M156" s="8"/>
    </row>
    <row r="157" customFormat="false" ht="15" hidden="false" customHeight="false" outlineLevel="0" collapsed="false">
      <c r="A157" s="8"/>
      <c r="B157" s="8"/>
      <c r="C157" s="8"/>
      <c r="D157" s="7" t="str">
        <f aca="false">IF(B157="","",COUNTIFS('Box Register'!$E:$E,$A157,'Box Register'!$F:$F,$B157))</f>
        <v/>
      </c>
      <c r="E157" s="8"/>
      <c r="F157" s="8"/>
      <c r="G157" s="9"/>
      <c r="H157" s="9"/>
      <c r="I157" s="10" t="str">
        <f aca="false">IF(H157="","",H157+'How to Use'!$B$19)</f>
        <v/>
      </c>
      <c r="J157" s="8"/>
      <c r="K157" s="9"/>
      <c r="L157" s="8"/>
      <c r="M157" s="8"/>
    </row>
    <row r="158" customFormat="false" ht="15" hidden="false" customHeight="false" outlineLevel="0" collapsed="false">
      <c r="A158" s="8"/>
      <c r="B158" s="8"/>
      <c r="C158" s="8"/>
      <c r="D158" s="7" t="str">
        <f aca="false">IF(B158="","",COUNTIFS('Box Register'!$E:$E,$A158,'Box Register'!$F:$F,$B158))</f>
        <v/>
      </c>
      <c r="E158" s="8"/>
      <c r="F158" s="8"/>
      <c r="G158" s="9"/>
      <c r="H158" s="9"/>
      <c r="I158" s="10" t="str">
        <f aca="false">IF(H158="","",H158+'How to Use'!$B$19)</f>
        <v/>
      </c>
      <c r="J158" s="8"/>
      <c r="K158" s="9"/>
      <c r="L158" s="8"/>
      <c r="M158" s="8"/>
    </row>
    <row r="159" customFormat="false" ht="15" hidden="false" customHeight="false" outlineLevel="0" collapsed="false">
      <c r="A159" s="8"/>
      <c r="B159" s="8"/>
      <c r="C159" s="8"/>
      <c r="D159" s="7" t="str">
        <f aca="false">IF(B159="","",COUNTIFS('Box Register'!$E:$E,$A159,'Box Register'!$F:$F,$B159))</f>
        <v/>
      </c>
      <c r="E159" s="8"/>
      <c r="F159" s="8"/>
      <c r="G159" s="9"/>
      <c r="H159" s="9"/>
      <c r="I159" s="10" t="str">
        <f aca="false">IF(H159="","",H159+'How to Use'!$B$19)</f>
        <v/>
      </c>
      <c r="J159" s="8"/>
      <c r="K159" s="9"/>
      <c r="L159" s="8"/>
      <c r="M159" s="8"/>
    </row>
    <row r="160" customFormat="false" ht="15" hidden="false" customHeight="false" outlineLevel="0" collapsed="false">
      <c r="A160" s="8"/>
      <c r="B160" s="8"/>
      <c r="C160" s="8"/>
      <c r="D160" s="7" t="str">
        <f aca="false">IF(B160="","",COUNTIFS('Box Register'!$E:$E,$A160,'Box Register'!$F:$F,$B160))</f>
        <v/>
      </c>
      <c r="E160" s="8"/>
      <c r="F160" s="8"/>
      <c r="G160" s="9"/>
      <c r="H160" s="9"/>
      <c r="I160" s="10" t="str">
        <f aca="false">IF(H160="","",H160+'How to Use'!$B$19)</f>
        <v/>
      </c>
      <c r="J160" s="8"/>
      <c r="K160" s="9"/>
      <c r="L160" s="8"/>
      <c r="M160" s="8"/>
    </row>
    <row r="161" customFormat="false" ht="15" hidden="false" customHeight="false" outlineLevel="0" collapsed="false">
      <c r="A161" s="8"/>
      <c r="B161" s="8"/>
      <c r="C161" s="8"/>
      <c r="D161" s="7" t="str">
        <f aca="false">IF(B161="","",COUNTIFS('Box Register'!$E:$E,$A161,'Box Register'!$F:$F,$B161))</f>
        <v/>
      </c>
      <c r="E161" s="8"/>
      <c r="F161" s="8"/>
      <c r="G161" s="9"/>
      <c r="H161" s="9"/>
      <c r="I161" s="10" t="str">
        <f aca="false">IF(H161="","",H161+'How to Use'!$B$19)</f>
        <v/>
      </c>
      <c r="J161" s="8"/>
      <c r="K161" s="9"/>
      <c r="L161" s="8"/>
      <c r="M161" s="8"/>
    </row>
    <row r="162" customFormat="false" ht="15" hidden="false" customHeight="false" outlineLevel="0" collapsed="false">
      <c r="A162" s="8"/>
      <c r="B162" s="8"/>
      <c r="C162" s="8"/>
      <c r="D162" s="7" t="str">
        <f aca="false">IF(B162="","",COUNTIFS('Box Register'!$E:$E,$A162,'Box Register'!$F:$F,$B162))</f>
        <v/>
      </c>
      <c r="E162" s="8"/>
      <c r="F162" s="8"/>
      <c r="G162" s="9"/>
      <c r="H162" s="9"/>
      <c r="I162" s="10" t="str">
        <f aca="false">IF(H162="","",H162+'How to Use'!$B$19)</f>
        <v/>
      </c>
      <c r="J162" s="8"/>
      <c r="K162" s="9"/>
      <c r="L162" s="8"/>
      <c r="M162" s="8"/>
    </row>
    <row r="163" customFormat="false" ht="15" hidden="false" customHeight="false" outlineLevel="0" collapsed="false">
      <c r="A163" s="8"/>
      <c r="B163" s="8"/>
      <c r="C163" s="8"/>
      <c r="D163" s="7" t="str">
        <f aca="false">IF(B163="","",COUNTIFS('Box Register'!$E:$E,$A163,'Box Register'!$F:$F,$B163))</f>
        <v/>
      </c>
      <c r="E163" s="8"/>
      <c r="F163" s="8"/>
      <c r="G163" s="9"/>
      <c r="H163" s="9"/>
      <c r="I163" s="10" t="str">
        <f aca="false">IF(H163="","",H163+'How to Use'!$B$19)</f>
        <v/>
      </c>
      <c r="J163" s="8"/>
      <c r="K163" s="9"/>
      <c r="L163" s="8"/>
      <c r="M163" s="8"/>
    </row>
    <row r="164" customFormat="false" ht="15" hidden="false" customHeight="false" outlineLevel="0" collapsed="false">
      <c r="A164" s="8"/>
      <c r="B164" s="8"/>
      <c r="C164" s="8"/>
      <c r="D164" s="7" t="str">
        <f aca="false">IF(B164="","",COUNTIFS('Box Register'!$E:$E,$A164,'Box Register'!$F:$F,$B164))</f>
        <v/>
      </c>
      <c r="E164" s="8"/>
      <c r="F164" s="8"/>
      <c r="G164" s="9"/>
      <c r="H164" s="9"/>
      <c r="I164" s="10" t="str">
        <f aca="false">IF(H164="","",H164+'How to Use'!$B$19)</f>
        <v/>
      </c>
      <c r="J164" s="8"/>
      <c r="K164" s="9"/>
      <c r="L164" s="8"/>
      <c r="M164" s="8"/>
    </row>
    <row r="165" customFormat="false" ht="15" hidden="false" customHeight="false" outlineLevel="0" collapsed="false">
      <c r="A165" s="8"/>
      <c r="B165" s="8"/>
      <c r="C165" s="8"/>
      <c r="D165" s="7" t="str">
        <f aca="false">IF(B165="","",COUNTIFS('Box Register'!$E:$E,$A165,'Box Register'!$F:$F,$B165))</f>
        <v/>
      </c>
      <c r="E165" s="8"/>
      <c r="F165" s="8"/>
      <c r="G165" s="9"/>
      <c r="H165" s="9"/>
      <c r="I165" s="10" t="str">
        <f aca="false">IF(H165="","",H165+'How to Use'!$B$19)</f>
        <v/>
      </c>
      <c r="J165" s="8"/>
      <c r="K165" s="9"/>
      <c r="L165" s="8"/>
      <c r="M165" s="8"/>
    </row>
    <row r="166" customFormat="false" ht="15" hidden="false" customHeight="false" outlineLevel="0" collapsed="false">
      <c r="A166" s="8"/>
      <c r="B166" s="8"/>
      <c r="C166" s="8"/>
      <c r="D166" s="7" t="str">
        <f aca="false">IF(B166="","",COUNTIFS('Box Register'!$E:$E,$A166,'Box Register'!$F:$F,$B166))</f>
        <v/>
      </c>
      <c r="E166" s="8"/>
      <c r="F166" s="8"/>
      <c r="G166" s="9"/>
      <c r="H166" s="9"/>
      <c r="I166" s="10" t="str">
        <f aca="false">IF(H166="","",H166+'How to Use'!$B$19)</f>
        <v/>
      </c>
      <c r="J166" s="8"/>
      <c r="K166" s="9"/>
      <c r="L166" s="8"/>
      <c r="M166" s="8"/>
    </row>
    <row r="167" customFormat="false" ht="15" hidden="false" customHeight="false" outlineLevel="0" collapsed="false">
      <c r="A167" s="8"/>
      <c r="B167" s="8"/>
      <c r="C167" s="8"/>
      <c r="D167" s="7" t="str">
        <f aca="false">IF(B167="","",COUNTIFS('Box Register'!$E:$E,$A167,'Box Register'!$F:$F,$B167))</f>
        <v/>
      </c>
      <c r="E167" s="8"/>
      <c r="F167" s="8"/>
      <c r="G167" s="9"/>
      <c r="H167" s="9"/>
      <c r="I167" s="10" t="str">
        <f aca="false">IF(H167="","",H167+'How to Use'!$B$19)</f>
        <v/>
      </c>
      <c r="J167" s="8"/>
      <c r="K167" s="9"/>
      <c r="L167" s="8"/>
      <c r="M167" s="8"/>
    </row>
    <row r="168" customFormat="false" ht="15" hidden="false" customHeight="false" outlineLevel="0" collapsed="false">
      <c r="A168" s="8"/>
      <c r="B168" s="8"/>
      <c r="C168" s="8"/>
      <c r="D168" s="7" t="str">
        <f aca="false">IF(B168="","",COUNTIFS('Box Register'!$E:$E,$A168,'Box Register'!$F:$F,$B168))</f>
        <v/>
      </c>
      <c r="E168" s="8"/>
      <c r="F168" s="8"/>
      <c r="G168" s="9"/>
      <c r="H168" s="9"/>
      <c r="I168" s="10" t="str">
        <f aca="false">IF(H168="","",H168+'How to Use'!$B$19)</f>
        <v/>
      </c>
      <c r="J168" s="8"/>
      <c r="K168" s="9"/>
      <c r="L168" s="8"/>
      <c r="M168" s="8"/>
    </row>
    <row r="169" customFormat="false" ht="15" hidden="false" customHeight="false" outlineLevel="0" collapsed="false">
      <c r="A169" s="8"/>
      <c r="B169" s="8"/>
      <c r="C169" s="8"/>
      <c r="D169" s="7" t="str">
        <f aca="false">IF(B169="","",COUNTIFS('Box Register'!$E:$E,$A169,'Box Register'!$F:$F,$B169))</f>
        <v/>
      </c>
      <c r="E169" s="8"/>
      <c r="F169" s="8"/>
      <c r="G169" s="9"/>
      <c r="H169" s="9"/>
      <c r="I169" s="10" t="str">
        <f aca="false">IF(H169="","",H169+'How to Use'!$B$19)</f>
        <v/>
      </c>
      <c r="J169" s="8"/>
      <c r="K169" s="9"/>
      <c r="L169" s="8"/>
      <c r="M169" s="8"/>
    </row>
    <row r="170" customFormat="false" ht="15" hidden="false" customHeight="false" outlineLevel="0" collapsed="false">
      <c r="A170" s="8"/>
      <c r="B170" s="8"/>
      <c r="C170" s="8"/>
      <c r="D170" s="7" t="str">
        <f aca="false">IF(B170="","",COUNTIFS('Box Register'!$E:$E,$A170,'Box Register'!$F:$F,$B170))</f>
        <v/>
      </c>
      <c r="E170" s="8"/>
      <c r="F170" s="8"/>
      <c r="G170" s="9"/>
      <c r="H170" s="9"/>
      <c r="I170" s="10" t="str">
        <f aca="false">IF(H170="","",H170+'How to Use'!$B$19)</f>
        <v/>
      </c>
      <c r="J170" s="8"/>
      <c r="K170" s="9"/>
      <c r="L170" s="8"/>
      <c r="M170" s="8"/>
    </row>
    <row r="171" customFormat="false" ht="15" hidden="false" customHeight="false" outlineLevel="0" collapsed="false">
      <c r="A171" s="8"/>
      <c r="B171" s="8"/>
      <c r="C171" s="8"/>
      <c r="D171" s="7" t="str">
        <f aca="false">IF(B171="","",COUNTIFS('Box Register'!$E:$E,$A171,'Box Register'!$F:$F,$B171))</f>
        <v/>
      </c>
      <c r="E171" s="8"/>
      <c r="F171" s="8"/>
      <c r="G171" s="9"/>
      <c r="H171" s="9"/>
      <c r="I171" s="10" t="str">
        <f aca="false">IF(H171="","",H171+'How to Use'!$B$19)</f>
        <v/>
      </c>
      <c r="J171" s="8"/>
      <c r="K171" s="9"/>
      <c r="L171" s="8"/>
      <c r="M171" s="8"/>
    </row>
    <row r="172" customFormat="false" ht="15" hidden="false" customHeight="false" outlineLevel="0" collapsed="false">
      <c r="A172" s="8"/>
      <c r="B172" s="8"/>
      <c r="C172" s="8"/>
      <c r="D172" s="7" t="str">
        <f aca="false">IF(B172="","",COUNTIFS('Box Register'!$E:$E,$A172,'Box Register'!$F:$F,$B172))</f>
        <v/>
      </c>
      <c r="E172" s="8"/>
      <c r="F172" s="8"/>
      <c r="G172" s="9"/>
      <c r="H172" s="9"/>
      <c r="I172" s="10" t="str">
        <f aca="false">IF(H172="","",H172+'How to Use'!$B$19)</f>
        <v/>
      </c>
      <c r="J172" s="8"/>
      <c r="K172" s="9"/>
      <c r="L172" s="8"/>
      <c r="M172" s="8"/>
    </row>
    <row r="173" customFormat="false" ht="15" hidden="false" customHeight="false" outlineLevel="0" collapsed="false">
      <c r="A173" s="8"/>
      <c r="B173" s="8"/>
      <c r="C173" s="8"/>
      <c r="D173" s="7" t="str">
        <f aca="false">IF(B173="","",COUNTIFS('Box Register'!$E:$E,$A173,'Box Register'!$F:$F,$B173))</f>
        <v/>
      </c>
      <c r="E173" s="8"/>
      <c r="F173" s="8"/>
      <c r="G173" s="9"/>
      <c r="H173" s="9"/>
      <c r="I173" s="10" t="str">
        <f aca="false">IF(H173="","",H173+'How to Use'!$B$19)</f>
        <v/>
      </c>
      <c r="J173" s="8"/>
      <c r="K173" s="9"/>
      <c r="L173" s="8"/>
      <c r="M173" s="8"/>
    </row>
    <row r="174" customFormat="false" ht="15" hidden="false" customHeight="false" outlineLevel="0" collapsed="false">
      <c r="A174" s="8"/>
      <c r="B174" s="8"/>
      <c r="C174" s="8"/>
      <c r="D174" s="7" t="str">
        <f aca="false">IF(B174="","",COUNTIFS('Box Register'!$E:$E,$A174,'Box Register'!$F:$F,$B174))</f>
        <v/>
      </c>
      <c r="E174" s="8"/>
      <c r="F174" s="8"/>
      <c r="G174" s="9"/>
      <c r="H174" s="9"/>
      <c r="I174" s="10" t="str">
        <f aca="false">IF(H174="","",H174+'How to Use'!$B$19)</f>
        <v/>
      </c>
      <c r="J174" s="8"/>
      <c r="K174" s="9"/>
      <c r="L174" s="8"/>
      <c r="M174" s="8"/>
    </row>
    <row r="175" customFormat="false" ht="15" hidden="false" customHeight="false" outlineLevel="0" collapsed="false">
      <c r="A175" s="8"/>
      <c r="B175" s="8"/>
      <c r="C175" s="8"/>
      <c r="D175" s="7" t="str">
        <f aca="false">IF(B175="","",COUNTIFS('Box Register'!$E:$E,$A175,'Box Register'!$F:$F,$B175))</f>
        <v/>
      </c>
      <c r="E175" s="8"/>
      <c r="F175" s="8"/>
      <c r="G175" s="9"/>
      <c r="H175" s="9"/>
      <c r="I175" s="10" t="str">
        <f aca="false">IF(H175="","",H175+'How to Use'!$B$19)</f>
        <v/>
      </c>
      <c r="J175" s="8"/>
      <c r="K175" s="9"/>
      <c r="L175" s="8"/>
      <c r="M175" s="8"/>
    </row>
    <row r="176" customFormat="false" ht="15" hidden="false" customHeight="false" outlineLevel="0" collapsed="false">
      <c r="A176" s="8"/>
      <c r="B176" s="8"/>
      <c r="C176" s="8"/>
      <c r="D176" s="7" t="str">
        <f aca="false">IF(B176="","",COUNTIFS('Box Register'!$E:$E,$A176,'Box Register'!$F:$F,$B176))</f>
        <v/>
      </c>
      <c r="E176" s="8"/>
      <c r="F176" s="8"/>
      <c r="G176" s="9"/>
      <c r="H176" s="9"/>
      <c r="I176" s="10" t="str">
        <f aca="false">IF(H176="","",H176+'How to Use'!$B$19)</f>
        <v/>
      </c>
      <c r="J176" s="8"/>
      <c r="K176" s="9"/>
      <c r="L176" s="8"/>
      <c r="M176" s="8"/>
    </row>
    <row r="177" customFormat="false" ht="15" hidden="false" customHeight="false" outlineLevel="0" collapsed="false">
      <c r="A177" s="8"/>
      <c r="B177" s="8"/>
      <c r="C177" s="8"/>
      <c r="D177" s="7" t="str">
        <f aca="false">IF(B177="","",COUNTIFS('Box Register'!$E:$E,$A177,'Box Register'!$F:$F,$B177))</f>
        <v/>
      </c>
      <c r="E177" s="8"/>
      <c r="F177" s="8"/>
      <c r="G177" s="9"/>
      <c r="H177" s="9"/>
      <c r="I177" s="10" t="str">
        <f aca="false">IF(H177="","",H177+'How to Use'!$B$19)</f>
        <v/>
      </c>
      <c r="J177" s="8"/>
      <c r="K177" s="9"/>
      <c r="L177" s="8"/>
      <c r="M177" s="8"/>
    </row>
    <row r="178" customFormat="false" ht="15" hidden="false" customHeight="false" outlineLevel="0" collapsed="false">
      <c r="A178" s="8"/>
      <c r="B178" s="8"/>
      <c r="C178" s="8"/>
      <c r="D178" s="7" t="str">
        <f aca="false">IF(B178="","",COUNTIFS('Box Register'!$E:$E,$A178,'Box Register'!$F:$F,$B178))</f>
        <v/>
      </c>
      <c r="E178" s="8"/>
      <c r="F178" s="8"/>
      <c r="G178" s="9"/>
      <c r="H178" s="9"/>
      <c r="I178" s="10" t="str">
        <f aca="false">IF(H178="","",H178+'How to Use'!$B$19)</f>
        <v/>
      </c>
      <c r="J178" s="8"/>
      <c r="K178" s="9"/>
      <c r="L178" s="8"/>
      <c r="M178" s="8"/>
    </row>
    <row r="179" customFormat="false" ht="15" hidden="false" customHeight="false" outlineLevel="0" collapsed="false">
      <c r="A179" s="8"/>
      <c r="B179" s="8"/>
      <c r="C179" s="8"/>
      <c r="D179" s="7" t="str">
        <f aca="false">IF(B179="","",COUNTIFS('Box Register'!$E:$E,$A179,'Box Register'!$F:$F,$B179))</f>
        <v/>
      </c>
      <c r="E179" s="8"/>
      <c r="F179" s="8"/>
      <c r="G179" s="9"/>
      <c r="H179" s="9"/>
      <c r="I179" s="10" t="str">
        <f aca="false">IF(H179="","",H179+'How to Use'!$B$19)</f>
        <v/>
      </c>
      <c r="J179" s="8"/>
      <c r="K179" s="9"/>
      <c r="L179" s="8"/>
      <c r="M179" s="8"/>
    </row>
    <row r="180" customFormat="false" ht="15" hidden="false" customHeight="false" outlineLevel="0" collapsed="false">
      <c r="A180" s="8"/>
      <c r="B180" s="8"/>
      <c r="C180" s="8"/>
      <c r="D180" s="7" t="str">
        <f aca="false">IF(B180="","",COUNTIFS('Box Register'!$E:$E,$A180,'Box Register'!$F:$F,$B180))</f>
        <v/>
      </c>
      <c r="E180" s="8"/>
      <c r="F180" s="8"/>
      <c r="G180" s="9"/>
      <c r="H180" s="9"/>
      <c r="I180" s="10" t="str">
        <f aca="false">IF(H180="","",H180+'How to Use'!$B$19)</f>
        <v/>
      </c>
      <c r="J180" s="8"/>
      <c r="K180" s="9"/>
      <c r="L180" s="8"/>
      <c r="M180" s="8"/>
    </row>
    <row r="181" customFormat="false" ht="15" hidden="false" customHeight="false" outlineLevel="0" collapsed="false">
      <c r="A181" s="8"/>
      <c r="B181" s="8"/>
      <c r="C181" s="8"/>
      <c r="D181" s="7" t="str">
        <f aca="false">IF(B181="","",COUNTIFS('Box Register'!$E:$E,$A181,'Box Register'!$F:$F,$B181))</f>
        <v/>
      </c>
      <c r="E181" s="8"/>
      <c r="F181" s="8"/>
      <c r="G181" s="9"/>
      <c r="H181" s="9"/>
      <c r="I181" s="10" t="str">
        <f aca="false">IF(H181="","",H181+'How to Use'!$B$19)</f>
        <v/>
      </c>
      <c r="J181" s="8"/>
      <c r="K181" s="9"/>
      <c r="L181" s="8"/>
      <c r="M181" s="8"/>
    </row>
    <row r="182" customFormat="false" ht="15" hidden="false" customHeight="false" outlineLevel="0" collapsed="false">
      <c r="A182" s="8"/>
      <c r="B182" s="8"/>
      <c r="C182" s="8"/>
      <c r="D182" s="7" t="str">
        <f aca="false">IF(B182="","",COUNTIFS('Box Register'!$E:$E,$A182,'Box Register'!$F:$F,$B182))</f>
        <v/>
      </c>
      <c r="E182" s="8"/>
      <c r="F182" s="8"/>
      <c r="G182" s="9"/>
      <c r="H182" s="9"/>
      <c r="I182" s="10" t="str">
        <f aca="false">IF(H182="","",H182+'How to Use'!$B$19)</f>
        <v/>
      </c>
      <c r="J182" s="8"/>
      <c r="K182" s="9"/>
      <c r="L182" s="8"/>
      <c r="M182" s="8"/>
    </row>
    <row r="183" customFormat="false" ht="15" hidden="false" customHeight="false" outlineLevel="0" collapsed="false">
      <c r="A183" s="8"/>
      <c r="B183" s="8"/>
      <c r="C183" s="8"/>
      <c r="D183" s="7" t="str">
        <f aca="false">IF(B183="","",COUNTIFS('Box Register'!$E:$E,$A183,'Box Register'!$F:$F,$B183))</f>
        <v/>
      </c>
      <c r="E183" s="8"/>
      <c r="F183" s="8"/>
      <c r="G183" s="9"/>
      <c r="H183" s="9"/>
      <c r="I183" s="10" t="str">
        <f aca="false">IF(H183="","",H183+'How to Use'!$B$19)</f>
        <v/>
      </c>
      <c r="J183" s="8"/>
      <c r="K183" s="9"/>
      <c r="L183" s="8"/>
      <c r="M183" s="8"/>
    </row>
    <row r="184" customFormat="false" ht="15" hidden="false" customHeight="false" outlineLevel="0" collapsed="false">
      <c r="A184" s="8"/>
      <c r="B184" s="8"/>
      <c r="C184" s="8"/>
      <c r="D184" s="7" t="str">
        <f aca="false">IF(B184="","",COUNTIFS('Box Register'!$E:$E,$A184,'Box Register'!$F:$F,$B184))</f>
        <v/>
      </c>
      <c r="E184" s="8"/>
      <c r="F184" s="8"/>
      <c r="G184" s="9"/>
      <c r="H184" s="9"/>
      <c r="I184" s="10" t="str">
        <f aca="false">IF(H184="","",H184+'How to Use'!$B$19)</f>
        <v/>
      </c>
      <c r="J184" s="8"/>
      <c r="K184" s="9"/>
      <c r="L184" s="8"/>
      <c r="M184" s="8"/>
    </row>
    <row r="185" customFormat="false" ht="15" hidden="false" customHeight="false" outlineLevel="0" collapsed="false">
      <c r="A185" s="8"/>
      <c r="B185" s="8"/>
      <c r="C185" s="8"/>
      <c r="D185" s="7" t="str">
        <f aca="false">IF(B185="","",COUNTIFS('Box Register'!$E:$E,$A185,'Box Register'!$F:$F,$B185))</f>
        <v/>
      </c>
      <c r="E185" s="8"/>
      <c r="F185" s="8"/>
      <c r="G185" s="9"/>
      <c r="H185" s="9"/>
      <c r="I185" s="10" t="str">
        <f aca="false">IF(H185="","",H185+'How to Use'!$B$19)</f>
        <v/>
      </c>
      <c r="J185" s="8"/>
      <c r="K185" s="9"/>
      <c r="L185" s="8"/>
      <c r="M185" s="8"/>
    </row>
    <row r="186" customFormat="false" ht="15" hidden="false" customHeight="false" outlineLevel="0" collapsed="false">
      <c r="A186" s="8"/>
      <c r="B186" s="8"/>
      <c r="C186" s="8"/>
      <c r="D186" s="7" t="str">
        <f aca="false">IF(B186="","",COUNTIFS('Box Register'!$E:$E,$A186,'Box Register'!$F:$F,$B186))</f>
        <v/>
      </c>
      <c r="E186" s="8"/>
      <c r="F186" s="8"/>
      <c r="G186" s="9"/>
      <c r="H186" s="9"/>
      <c r="I186" s="10" t="str">
        <f aca="false">IF(H186="","",H186+'How to Use'!$B$19)</f>
        <v/>
      </c>
      <c r="J186" s="8"/>
      <c r="K186" s="9"/>
      <c r="L186" s="8"/>
      <c r="M186" s="8"/>
    </row>
    <row r="187" customFormat="false" ht="15" hidden="false" customHeight="false" outlineLevel="0" collapsed="false">
      <c r="A187" s="8"/>
      <c r="B187" s="8"/>
      <c r="C187" s="8"/>
      <c r="D187" s="7" t="str">
        <f aca="false">IF(B187="","",COUNTIFS('Box Register'!$E:$E,$A187,'Box Register'!$F:$F,$B187))</f>
        <v/>
      </c>
      <c r="E187" s="8"/>
      <c r="F187" s="8"/>
      <c r="G187" s="9"/>
      <c r="H187" s="9"/>
      <c r="I187" s="10" t="str">
        <f aca="false">IF(H187="","",H187+'How to Use'!$B$19)</f>
        <v/>
      </c>
      <c r="J187" s="8"/>
      <c r="K187" s="9"/>
      <c r="L187" s="8"/>
      <c r="M187" s="8"/>
    </row>
    <row r="188" customFormat="false" ht="15" hidden="false" customHeight="false" outlineLevel="0" collapsed="false">
      <c r="A188" s="8"/>
      <c r="B188" s="8"/>
      <c r="C188" s="8"/>
      <c r="D188" s="7" t="str">
        <f aca="false">IF(B188="","",COUNTIFS('Box Register'!$E:$E,$A188,'Box Register'!$F:$F,$B188))</f>
        <v/>
      </c>
      <c r="E188" s="8"/>
      <c r="F188" s="8"/>
      <c r="G188" s="9"/>
      <c r="H188" s="9"/>
      <c r="I188" s="10" t="str">
        <f aca="false">IF(H188="","",H188+'How to Use'!$B$19)</f>
        <v/>
      </c>
      <c r="J188" s="8"/>
      <c r="K188" s="9"/>
      <c r="L188" s="8"/>
      <c r="M188" s="8"/>
    </row>
    <row r="189" customFormat="false" ht="15" hidden="false" customHeight="false" outlineLevel="0" collapsed="false">
      <c r="A189" s="8"/>
      <c r="B189" s="8"/>
      <c r="C189" s="8"/>
      <c r="D189" s="7" t="str">
        <f aca="false">IF(B189="","",COUNTIFS('Box Register'!$E:$E,$A189,'Box Register'!$F:$F,$B189))</f>
        <v/>
      </c>
      <c r="E189" s="8"/>
      <c r="F189" s="8"/>
      <c r="G189" s="9"/>
      <c r="H189" s="9"/>
      <c r="I189" s="10" t="str">
        <f aca="false">IF(H189="","",H189+'How to Use'!$B$19)</f>
        <v/>
      </c>
      <c r="J189" s="8"/>
      <c r="K189" s="9"/>
      <c r="L189" s="8"/>
      <c r="M189" s="8"/>
    </row>
    <row r="190" customFormat="false" ht="15" hidden="false" customHeight="false" outlineLevel="0" collapsed="false">
      <c r="A190" s="8"/>
      <c r="B190" s="8"/>
      <c r="C190" s="8"/>
      <c r="D190" s="7" t="str">
        <f aca="false">IF(B190="","",COUNTIFS('Box Register'!$E:$E,$A190,'Box Register'!$F:$F,$B190))</f>
        <v/>
      </c>
      <c r="E190" s="8"/>
      <c r="F190" s="8"/>
      <c r="G190" s="9"/>
      <c r="H190" s="9"/>
      <c r="I190" s="10" t="str">
        <f aca="false">IF(H190="","",H190+'How to Use'!$B$19)</f>
        <v/>
      </c>
      <c r="J190" s="8"/>
      <c r="K190" s="9"/>
      <c r="L190" s="8"/>
      <c r="M190" s="8"/>
    </row>
    <row r="191" customFormat="false" ht="15" hidden="false" customHeight="false" outlineLevel="0" collapsed="false">
      <c r="A191" s="8"/>
      <c r="B191" s="8"/>
      <c r="C191" s="8"/>
      <c r="D191" s="7" t="str">
        <f aca="false">IF(B191="","",COUNTIFS('Box Register'!$E:$E,$A191,'Box Register'!$F:$F,$B191))</f>
        <v/>
      </c>
      <c r="E191" s="8"/>
      <c r="F191" s="8"/>
      <c r="G191" s="9"/>
      <c r="H191" s="9"/>
      <c r="I191" s="10" t="str">
        <f aca="false">IF(H191="","",H191+'How to Use'!$B$19)</f>
        <v/>
      </c>
      <c r="J191" s="8"/>
      <c r="K191" s="9"/>
      <c r="L191" s="8"/>
      <c r="M191" s="8"/>
    </row>
    <row r="192" customFormat="false" ht="15" hidden="false" customHeight="false" outlineLevel="0" collapsed="false">
      <c r="A192" s="8"/>
      <c r="B192" s="8"/>
      <c r="C192" s="8"/>
      <c r="D192" s="7" t="str">
        <f aca="false">IF(B192="","",COUNTIFS('Box Register'!$E:$E,$A192,'Box Register'!$F:$F,$B192))</f>
        <v/>
      </c>
      <c r="E192" s="8"/>
      <c r="F192" s="8"/>
      <c r="G192" s="9"/>
      <c r="H192" s="9"/>
      <c r="I192" s="10" t="str">
        <f aca="false">IF(H192="","",H192+'How to Use'!$B$19)</f>
        <v/>
      </c>
      <c r="J192" s="8"/>
      <c r="K192" s="9"/>
      <c r="L192" s="8"/>
      <c r="M192" s="8"/>
    </row>
    <row r="193" customFormat="false" ht="15" hidden="false" customHeight="false" outlineLevel="0" collapsed="false">
      <c r="A193" s="8"/>
      <c r="B193" s="8"/>
      <c r="C193" s="8"/>
      <c r="D193" s="7" t="str">
        <f aca="false">IF(B193="","",COUNTIFS('Box Register'!$E:$E,$A193,'Box Register'!$F:$F,$B193))</f>
        <v/>
      </c>
      <c r="E193" s="8"/>
      <c r="F193" s="8"/>
      <c r="G193" s="9"/>
      <c r="H193" s="9"/>
      <c r="I193" s="10" t="str">
        <f aca="false">IF(H193="","",H193+'How to Use'!$B$19)</f>
        <v/>
      </c>
      <c r="J193" s="8"/>
      <c r="K193" s="9"/>
      <c r="L193" s="8"/>
      <c r="M193" s="8"/>
    </row>
    <row r="194" customFormat="false" ht="15" hidden="false" customHeight="false" outlineLevel="0" collapsed="false">
      <c r="A194" s="8"/>
      <c r="B194" s="8"/>
      <c r="C194" s="8"/>
      <c r="D194" s="7" t="str">
        <f aca="false">IF(B194="","",COUNTIFS('Box Register'!$E:$E,$A194,'Box Register'!$F:$F,$B194))</f>
        <v/>
      </c>
      <c r="E194" s="8"/>
      <c r="F194" s="8"/>
      <c r="G194" s="9"/>
      <c r="H194" s="9"/>
      <c r="I194" s="10" t="str">
        <f aca="false">IF(H194="","",H194+'How to Use'!$B$19)</f>
        <v/>
      </c>
      <c r="J194" s="8"/>
      <c r="K194" s="9"/>
      <c r="L194" s="8"/>
      <c r="M194" s="8"/>
    </row>
    <row r="195" customFormat="false" ht="15" hidden="false" customHeight="false" outlineLevel="0" collapsed="false">
      <c r="A195" s="8"/>
      <c r="B195" s="8"/>
      <c r="C195" s="8"/>
      <c r="D195" s="7" t="str">
        <f aca="false">IF(B195="","",COUNTIFS('Box Register'!$E:$E,$A195,'Box Register'!$F:$F,$B195))</f>
        <v/>
      </c>
      <c r="E195" s="8"/>
      <c r="F195" s="8"/>
      <c r="G195" s="9"/>
      <c r="H195" s="9"/>
      <c r="I195" s="10" t="str">
        <f aca="false">IF(H195="","",H195+'How to Use'!$B$19)</f>
        <v/>
      </c>
      <c r="J195" s="8"/>
      <c r="K195" s="9"/>
      <c r="L195" s="8"/>
      <c r="M195" s="8"/>
    </row>
    <row r="196" customFormat="false" ht="15" hidden="false" customHeight="false" outlineLevel="0" collapsed="false">
      <c r="A196" s="8"/>
      <c r="B196" s="8"/>
      <c r="C196" s="8"/>
      <c r="D196" s="7" t="str">
        <f aca="false">IF(B196="","",COUNTIFS('Box Register'!$E:$E,$A196,'Box Register'!$F:$F,$B196))</f>
        <v/>
      </c>
      <c r="E196" s="8"/>
      <c r="F196" s="8"/>
      <c r="G196" s="9"/>
      <c r="H196" s="9"/>
      <c r="I196" s="10" t="str">
        <f aca="false">IF(H196="","",H196+'How to Use'!$B$19)</f>
        <v/>
      </c>
      <c r="J196" s="8"/>
      <c r="K196" s="9"/>
      <c r="L196" s="8"/>
      <c r="M196" s="8"/>
    </row>
    <row r="197" customFormat="false" ht="15" hidden="false" customHeight="false" outlineLevel="0" collapsed="false">
      <c r="A197" s="8"/>
      <c r="B197" s="8"/>
      <c r="C197" s="8"/>
      <c r="D197" s="7" t="str">
        <f aca="false">IF(B197="","",COUNTIFS('Box Register'!$E:$E,$A197,'Box Register'!$F:$F,$B197))</f>
        <v/>
      </c>
      <c r="E197" s="8"/>
      <c r="F197" s="8"/>
      <c r="G197" s="9"/>
      <c r="H197" s="9"/>
      <c r="I197" s="10" t="str">
        <f aca="false">IF(H197="","",H197+'How to Use'!$B$19)</f>
        <v/>
      </c>
      <c r="J197" s="8"/>
      <c r="K197" s="9"/>
      <c r="L197" s="8"/>
      <c r="M197" s="8"/>
    </row>
    <row r="198" customFormat="false" ht="15" hidden="false" customHeight="false" outlineLevel="0" collapsed="false">
      <c r="A198" s="8"/>
      <c r="B198" s="8"/>
      <c r="C198" s="8"/>
      <c r="D198" s="7" t="str">
        <f aca="false">IF(B198="","",COUNTIFS('Box Register'!$E:$E,$A198,'Box Register'!$F:$F,$B198))</f>
        <v/>
      </c>
      <c r="E198" s="8"/>
      <c r="F198" s="8"/>
      <c r="G198" s="9"/>
      <c r="H198" s="9"/>
      <c r="I198" s="10" t="str">
        <f aca="false">IF(H198="","",H198+'How to Use'!$B$19)</f>
        <v/>
      </c>
      <c r="J198" s="8"/>
      <c r="K198" s="9"/>
      <c r="L198" s="8"/>
      <c r="M198" s="8"/>
    </row>
    <row r="199" customFormat="false" ht="15" hidden="false" customHeight="false" outlineLevel="0" collapsed="false">
      <c r="A199" s="8"/>
      <c r="B199" s="8"/>
      <c r="C199" s="8"/>
      <c r="D199" s="7" t="str">
        <f aca="false">IF(B199="","",COUNTIFS('Box Register'!$E:$E,$A199,'Box Register'!$F:$F,$B199))</f>
        <v/>
      </c>
      <c r="E199" s="8"/>
      <c r="F199" s="8"/>
      <c r="G199" s="9"/>
      <c r="H199" s="9"/>
      <c r="I199" s="10" t="str">
        <f aca="false">IF(H199="","",H199+'How to Use'!$B$19)</f>
        <v/>
      </c>
      <c r="J199" s="8"/>
      <c r="K199" s="9"/>
      <c r="L199" s="8"/>
      <c r="M199" s="8"/>
    </row>
    <row r="200" customFormat="false" ht="15" hidden="false" customHeight="false" outlineLevel="0" collapsed="false">
      <c r="A200" s="8"/>
      <c r="B200" s="8"/>
      <c r="C200" s="8"/>
      <c r="D200" s="7" t="str">
        <f aca="false">IF(B200="","",COUNTIFS('Box Register'!$E:$E,$A200,'Box Register'!$F:$F,$B200))</f>
        <v/>
      </c>
      <c r="E200" s="8"/>
      <c r="F200" s="8"/>
      <c r="G200" s="9"/>
      <c r="H200" s="9"/>
      <c r="I200" s="10" t="str">
        <f aca="false">IF(H200="","",H200+'How to Use'!$B$19)</f>
        <v/>
      </c>
      <c r="J200" s="8"/>
      <c r="K200" s="9"/>
      <c r="L200" s="8"/>
      <c r="M200" s="8"/>
    </row>
  </sheetData>
  <autoFilter ref="A1:M200"/>
  <dataValidations count="2">
    <dataValidation allowBlank="true" errorStyle="stop" operator="between" showDropDown="false" showErrorMessage="false" showInputMessage="false" sqref="F2:F200" type="list">
      <formula1>"Pending,Yes,No"</formula1>
      <formula2>0</formula2>
    </dataValidation>
    <dataValidation allowBlank="true" errorStyle="stop" operator="between" showDropDown="false" showErrorMessage="false" showInputMessage="false" sqref="J2:J200" type="list">
      <formula1>"Pending,No Response,Return Requested,Approved Destruction"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8"/>
    <col collapsed="false" customWidth="true" hidden="false" outlineLevel="0" max="3" min="3" style="0" width="50"/>
    <col collapsed="false" customWidth="true" hidden="false" outlineLevel="0" max="5" min="4" style="0" width="24"/>
    <col collapsed="false" customWidth="true" hidden="false" outlineLevel="0" max="6" min="6" style="0" width="40"/>
    <col collapsed="false" customWidth="true" hidden="false" outlineLevel="0" max="8" min="7" style="0" width="18"/>
    <col collapsed="false" customWidth="true" hidden="false" outlineLevel="0" max="9" min="9" style="0" width="15"/>
    <col collapsed="false" customWidth="true" hidden="false" outlineLevel="0" max="10" min="10" style="0" width="12"/>
    <col collapsed="false" customWidth="true" hidden="false" outlineLevel="0" max="11" min="11" style="0" width="40"/>
    <col collapsed="false" customWidth="true" hidden="false" outlineLevel="0" max="12" min="12" style="0" width="30"/>
    <col collapsed="false" customWidth="true" hidden="false" outlineLevel="0" max="13" min="13" style="0" width="22"/>
  </cols>
  <sheetData>
    <row r="1" customFormat="false" ht="30" hidden="false" customHeight="true" outlineLevel="0" collapsed="false">
      <c r="A1" s="6" t="s">
        <v>65</v>
      </c>
      <c r="B1" s="6" t="s">
        <v>66</v>
      </c>
      <c r="C1" s="6" t="s">
        <v>67</v>
      </c>
      <c r="D1" s="6" t="s">
        <v>68</v>
      </c>
      <c r="E1" s="6" t="s">
        <v>16</v>
      </c>
      <c r="F1" s="6" t="s">
        <v>17</v>
      </c>
      <c r="G1" s="6" t="s">
        <v>69</v>
      </c>
      <c r="H1" s="6" t="s">
        <v>20</v>
      </c>
      <c r="I1" s="6" t="s">
        <v>70</v>
      </c>
      <c r="J1" s="6" t="s">
        <v>71</v>
      </c>
      <c r="K1" s="6" t="s">
        <v>72</v>
      </c>
      <c r="L1" s="6" t="s">
        <v>28</v>
      </c>
      <c r="M1" s="6" t="s">
        <v>73</v>
      </c>
    </row>
    <row r="2" customFormat="false" ht="23.85" hidden="false" customHeight="false" outlineLevel="0" collapsed="false">
      <c r="A2" s="7" t="s">
        <v>74</v>
      </c>
      <c r="B2" s="7"/>
      <c r="C2" s="7"/>
      <c r="D2" s="7"/>
      <c r="E2" s="8" t="s">
        <v>29</v>
      </c>
      <c r="F2" s="8" t="s">
        <v>30</v>
      </c>
      <c r="G2" s="8" t="s">
        <v>75</v>
      </c>
      <c r="H2" s="8"/>
      <c r="I2" s="8" t="s">
        <v>32</v>
      </c>
      <c r="J2" s="9"/>
      <c r="K2" s="7"/>
      <c r="L2" s="8"/>
      <c r="M2" s="7" t="s">
        <v>76</v>
      </c>
    </row>
    <row r="3" customFormat="false" ht="23.85" hidden="false" customHeight="false" outlineLevel="0" collapsed="false">
      <c r="A3" s="7" t="s">
        <v>77</v>
      </c>
      <c r="B3" s="7"/>
      <c r="C3" s="7"/>
      <c r="D3" s="7"/>
      <c r="E3" s="8" t="s">
        <v>29</v>
      </c>
      <c r="F3" s="8" t="s">
        <v>30</v>
      </c>
      <c r="G3" s="8" t="s">
        <v>75</v>
      </c>
      <c r="H3" s="8"/>
      <c r="I3" s="8" t="s">
        <v>32</v>
      </c>
      <c r="J3" s="9"/>
      <c r="K3" s="7"/>
      <c r="L3" s="8"/>
      <c r="M3" s="7" t="s">
        <v>78</v>
      </c>
    </row>
    <row r="4" customFormat="false" ht="23.85" hidden="false" customHeight="false" outlineLevel="0" collapsed="false">
      <c r="A4" s="7" t="s">
        <v>79</v>
      </c>
      <c r="B4" s="7"/>
      <c r="C4" s="7"/>
      <c r="D4" s="7"/>
      <c r="E4" s="8" t="s">
        <v>29</v>
      </c>
      <c r="F4" s="8" t="s">
        <v>30</v>
      </c>
      <c r="G4" s="8" t="s">
        <v>75</v>
      </c>
      <c r="H4" s="8"/>
      <c r="I4" s="8" t="s">
        <v>32</v>
      </c>
      <c r="J4" s="9"/>
      <c r="K4" s="7"/>
      <c r="L4" s="8"/>
      <c r="M4" s="7" t="s">
        <v>80</v>
      </c>
    </row>
    <row r="5" customFormat="false" ht="23.85" hidden="false" customHeight="false" outlineLevel="0" collapsed="false">
      <c r="A5" s="7" t="s">
        <v>81</v>
      </c>
      <c r="B5" s="7"/>
      <c r="C5" s="7"/>
      <c r="D5" s="7"/>
      <c r="E5" s="8" t="s">
        <v>29</v>
      </c>
      <c r="F5" s="8" t="s">
        <v>30</v>
      </c>
      <c r="G5" s="8" t="s">
        <v>75</v>
      </c>
      <c r="H5" s="8"/>
      <c r="I5" s="8" t="s">
        <v>32</v>
      </c>
      <c r="J5" s="9"/>
      <c r="K5" s="7"/>
      <c r="L5" s="8"/>
      <c r="M5" s="7" t="s">
        <v>82</v>
      </c>
    </row>
    <row r="6" customFormat="false" ht="23.85" hidden="false" customHeight="false" outlineLevel="0" collapsed="false">
      <c r="A6" s="7" t="s">
        <v>83</v>
      </c>
      <c r="B6" s="7"/>
      <c r="C6" s="7"/>
      <c r="D6" s="7"/>
      <c r="E6" s="8" t="s">
        <v>29</v>
      </c>
      <c r="F6" s="8" t="s">
        <v>30</v>
      </c>
      <c r="G6" s="8" t="s">
        <v>75</v>
      </c>
      <c r="H6" s="8"/>
      <c r="I6" s="8" t="s">
        <v>32</v>
      </c>
      <c r="J6" s="9"/>
      <c r="K6" s="7"/>
      <c r="L6" s="8"/>
      <c r="M6" s="7" t="s">
        <v>84</v>
      </c>
    </row>
    <row r="7" customFormat="false" ht="23.85" hidden="false" customHeight="false" outlineLevel="0" collapsed="false">
      <c r="A7" s="7" t="s">
        <v>85</v>
      </c>
      <c r="B7" s="7"/>
      <c r="C7" s="7"/>
      <c r="D7" s="7"/>
      <c r="E7" s="8" t="s">
        <v>29</v>
      </c>
      <c r="F7" s="8" t="s">
        <v>30</v>
      </c>
      <c r="G7" s="8" t="s">
        <v>75</v>
      </c>
      <c r="H7" s="8"/>
      <c r="I7" s="8" t="s">
        <v>32</v>
      </c>
      <c r="J7" s="9"/>
      <c r="K7" s="7"/>
      <c r="L7" s="8"/>
      <c r="M7" s="7" t="s">
        <v>86</v>
      </c>
    </row>
    <row r="8" customFormat="false" ht="23.85" hidden="false" customHeight="false" outlineLevel="0" collapsed="false">
      <c r="A8" s="7" t="s">
        <v>87</v>
      </c>
      <c r="B8" s="7"/>
      <c r="C8" s="7"/>
      <c r="D8" s="7"/>
      <c r="E8" s="8" t="s">
        <v>29</v>
      </c>
      <c r="F8" s="8" t="s">
        <v>30</v>
      </c>
      <c r="G8" s="8" t="s">
        <v>75</v>
      </c>
      <c r="H8" s="8"/>
      <c r="I8" s="8" t="s">
        <v>32</v>
      </c>
      <c r="J8" s="9"/>
      <c r="K8" s="7"/>
      <c r="L8" s="8"/>
      <c r="M8" s="7" t="s">
        <v>88</v>
      </c>
    </row>
    <row r="9" customFormat="false" ht="23.85" hidden="false" customHeight="false" outlineLevel="0" collapsed="false">
      <c r="A9" s="7" t="s">
        <v>89</v>
      </c>
      <c r="B9" s="7"/>
      <c r="C9" s="7"/>
      <c r="D9" s="7"/>
      <c r="E9" s="8" t="s">
        <v>29</v>
      </c>
      <c r="F9" s="8" t="s">
        <v>30</v>
      </c>
      <c r="G9" s="8" t="s">
        <v>75</v>
      </c>
      <c r="H9" s="8"/>
      <c r="I9" s="8" t="s">
        <v>32</v>
      </c>
      <c r="J9" s="9"/>
      <c r="K9" s="7"/>
      <c r="L9" s="8"/>
      <c r="M9" s="7" t="s">
        <v>90</v>
      </c>
    </row>
    <row r="10" customFormat="false" ht="23.85" hidden="false" customHeight="false" outlineLevel="0" collapsed="false">
      <c r="A10" s="7" t="s">
        <v>91</v>
      </c>
      <c r="B10" s="7"/>
      <c r="C10" s="7"/>
      <c r="D10" s="7"/>
      <c r="E10" s="8" t="s">
        <v>29</v>
      </c>
      <c r="F10" s="8" t="s">
        <v>30</v>
      </c>
      <c r="G10" s="8" t="s">
        <v>75</v>
      </c>
      <c r="H10" s="8"/>
      <c r="I10" s="8" t="s">
        <v>32</v>
      </c>
      <c r="J10" s="9"/>
      <c r="K10" s="7"/>
      <c r="L10" s="8"/>
      <c r="M10" s="7" t="s">
        <v>92</v>
      </c>
    </row>
    <row r="11" customFormat="false" ht="23.85" hidden="false" customHeight="false" outlineLevel="0" collapsed="false">
      <c r="A11" s="7" t="s">
        <v>93</v>
      </c>
      <c r="B11" s="7"/>
      <c r="C11" s="7"/>
      <c r="D11" s="7"/>
      <c r="E11" s="8" t="s">
        <v>29</v>
      </c>
      <c r="F11" s="8" t="s">
        <v>30</v>
      </c>
      <c r="G11" s="8" t="s">
        <v>75</v>
      </c>
      <c r="H11" s="8"/>
      <c r="I11" s="8" t="s">
        <v>32</v>
      </c>
      <c r="J11" s="9"/>
      <c r="K11" s="7"/>
      <c r="L11" s="8"/>
      <c r="M11" s="7" t="s">
        <v>94</v>
      </c>
    </row>
    <row r="12" customFormat="false" ht="23.85" hidden="false" customHeight="false" outlineLevel="0" collapsed="false">
      <c r="A12" s="7" t="s">
        <v>95</v>
      </c>
      <c r="B12" s="7"/>
      <c r="C12" s="7"/>
      <c r="D12" s="7"/>
      <c r="E12" s="8" t="s">
        <v>29</v>
      </c>
      <c r="F12" s="8" t="s">
        <v>30</v>
      </c>
      <c r="G12" s="8" t="s">
        <v>75</v>
      </c>
      <c r="H12" s="8"/>
      <c r="I12" s="8" t="s">
        <v>32</v>
      </c>
      <c r="J12" s="9"/>
      <c r="K12" s="7"/>
      <c r="L12" s="8"/>
      <c r="M12" s="7" t="s">
        <v>96</v>
      </c>
    </row>
    <row r="13" customFormat="false" ht="23.85" hidden="false" customHeight="false" outlineLevel="0" collapsed="false">
      <c r="A13" s="7" t="s">
        <v>97</v>
      </c>
      <c r="B13" s="7"/>
      <c r="C13" s="7"/>
      <c r="D13" s="7"/>
      <c r="E13" s="8" t="s">
        <v>29</v>
      </c>
      <c r="F13" s="8" t="s">
        <v>30</v>
      </c>
      <c r="G13" s="8" t="s">
        <v>75</v>
      </c>
      <c r="H13" s="8"/>
      <c r="I13" s="8" t="s">
        <v>32</v>
      </c>
      <c r="J13" s="9"/>
      <c r="K13" s="7"/>
      <c r="L13" s="8"/>
      <c r="M13" s="7" t="s">
        <v>98</v>
      </c>
    </row>
    <row r="14" customFormat="false" ht="23.85" hidden="false" customHeight="false" outlineLevel="0" collapsed="false">
      <c r="A14" s="7" t="s">
        <v>99</v>
      </c>
      <c r="B14" s="7"/>
      <c r="C14" s="7"/>
      <c r="D14" s="7"/>
      <c r="E14" s="8" t="s">
        <v>29</v>
      </c>
      <c r="F14" s="8" t="s">
        <v>30</v>
      </c>
      <c r="G14" s="8" t="s">
        <v>75</v>
      </c>
      <c r="H14" s="8"/>
      <c r="I14" s="8" t="s">
        <v>32</v>
      </c>
      <c r="J14" s="9"/>
      <c r="K14" s="7"/>
      <c r="L14" s="8"/>
      <c r="M14" s="7" t="s">
        <v>100</v>
      </c>
    </row>
    <row r="15" customFormat="false" ht="23.85" hidden="false" customHeight="false" outlineLevel="0" collapsed="false">
      <c r="A15" s="7" t="s">
        <v>101</v>
      </c>
      <c r="B15" s="7"/>
      <c r="C15" s="7"/>
      <c r="D15" s="7"/>
      <c r="E15" s="8" t="s">
        <v>29</v>
      </c>
      <c r="F15" s="8" t="s">
        <v>30</v>
      </c>
      <c r="G15" s="8" t="s">
        <v>75</v>
      </c>
      <c r="H15" s="8"/>
      <c r="I15" s="8" t="s">
        <v>32</v>
      </c>
      <c r="J15" s="9"/>
      <c r="K15" s="7"/>
      <c r="L15" s="8"/>
      <c r="M15" s="7" t="s">
        <v>102</v>
      </c>
    </row>
    <row r="16" customFormat="false" ht="23.85" hidden="false" customHeight="false" outlineLevel="0" collapsed="false">
      <c r="A16" s="7" t="s">
        <v>103</v>
      </c>
      <c r="B16" s="7"/>
      <c r="C16" s="7"/>
      <c r="D16" s="7"/>
      <c r="E16" s="8" t="s">
        <v>29</v>
      </c>
      <c r="F16" s="8" t="s">
        <v>30</v>
      </c>
      <c r="G16" s="8" t="s">
        <v>75</v>
      </c>
      <c r="H16" s="8"/>
      <c r="I16" s="8" t="s">
        <v>32</v>
      </c>
      <c r="J16" s="9"/>
      <c r="K16" s="7"/>
      <c r="L16" s="8"/>
      <c r="M16" s="7" t="s">
        <v>104</v>
      </c>
    </row>
    <row r="17" customFormat="false" ht="23.85" hidden="false" customHeight="false" outlineLevel="0" collapsed="false">
      <c r="A17" s="7" t="s">
        <v>105</v>
      </c>
      <c r="B17" s="7"/>
      <c r="C17" s="7"/>
      <c r="D17" s="7"/>
      <c r="E17" s="8" t="s">
        <v>29</v>
      </c>
      <c r="F17" s="8" t="s">
        <v>30</v>
      </c>
      <c r="G17" s="8" t="s">
        <v>75</v>
      </c>
      <c r="H17" s="8"/>
      <c r="I17" s="8" t="s">
        <v>32</v>
      </c>
      <c r="J17" s="9"/>
      <c r="K17" s="7"/>
      <c r="L17" s="8"/>
      <c r="M17" s="7" t="s">
        <v>106</v>
      </c>
    </row>
    <row r="18" customFormat="false" ht="23.85" hidden="false" customHeight="false" outlineLevel="0" collapsed="false">
      <c r="A18" s="7" t="s">
        <v>107</v>
      </c>
      <c r="B18" s="7"/>
      <c r="C18" s="7"/>
      <c r="D18" s="7"/>
      <c r="E18" s="8" t="s">
        <v>29</v>
      </c>
      <c r="F18" s="8" t="s">
        <v>30</v>
      </c>
      <c r="G18" s="8" t="s">
        <v>75</v>
      </c>
      <c r="H18" s="8"/>
      <c r="I18" s="8" t="s">
        <v>32</v>
      </c>
      <c r="J18" s="9"/>
      <c r="K18" s="7"/>
      <c r="L18" s="8"/>
      <c r="M18" s="7" t="s">
        <v>108</v>
      </c>
    </row>
    <row r="19" customFormat="false" ht="23.85" hidden="false" customHeight="false" outlineLevel="0" collapsed="false">
      <c r="A19" s="7" t="s">
        <v>109</v>
      </c>
      <c r="B19" s="7"/>
      <c r="C19" s="7"/>
      <c r="D19" s="7"/>
      <c r="E19" s="8" t="s">
        <v>29</v>
      </c>
      <c r="F19" s="8" t="s">
        <v>30</v>
      </c>
      <c r="G19" s="8" t="s">
        <v>75</v>
      </c>
      <c r="H19" s="8"/>
      <c r="I19" s="8" t="s">
        <v>32</v>
      </c>
      <c r="J19" s="9"/>
      <c r="K19" s="7"/>
      <c r="L19" s="8"/>
      <c r="M19" s="7" t="s">
        <v>110</v>
      </c>
    </row>
    <row r="20" customFormat="false" ht="23.85" hidden="false" customHeight="false" outlineLevel="0" collapsed="false">
      <c r="A20" s="7" t="s">
        <v>111</v>
      </c>
      <c r="B20" s="7"/>
      <c r="C20" s="7"/>
      <c r="D20" s="7"/>
      <c r="E20" s="8" t="s">
        <v>29</v>
      </c>
      <c r="F20" s="8" t="s">
        <v>30</v>
      </c>
      <c r="G20" s="8" t="s">
        <v>75</v>
      </c>
      <c r="H20" s="8"/>
      <c r="I20" s="8" t="s">
        <v>32</v>
      </c>
      <c r="J20" s="9"/>
      <c r="K20" s="7"/>
      <c r="L20" s="8"/>
      <c r="M20" s="7" t="s">
        <v>112</v>
      </c>
    </row>
    <row r="21" customFormat="false" ht="23.85" hidden="false" customHeight="false" outlineLevel="0" collapsed="false">
      <c r="A21" s="7" t="s">
        <v>113</v>
      </c>
      <c r="B21" s="7"/>
      <c r="C21" s="7"/>
      <c r="D21" s="7"/>
      <c r="E21" s="8" t="s">
        <v>29</v>
      </c>
      <c r="F21" s="8" t="s">
        <v>30</v>
      </c>
      <c r="G21" s="8" t="s">
        <v>75</v>
      </c>
      <c r="H21" s="8"/>
      <c r="I21" s="8" t="s">
        <v>32</v>
      </c>
      <c r="J21" s="9"/>
      <c r="K21" s="7"/>
      <c r="L21" s="8"/>
      <c r="M21" s="7" t="s">
        <v>114</v>
      </c>
    </row>
    <row r="22" customFormat="false" ht="23.85" hidden="false" customHeight="false" outlineLevel="0" collapsed="false">
      <c r="A22" s="7" t="s">
        <v>115</v>
      </c>
      <c r="B22" s="7"/>
      <c r="C22" s="7"/>
      <c r="D22" s="7"/>
      <c r="E22" s="8" t="s">
        <v>29</v>
      </c>
      <c r="F22" s="8" t="s">
        <v>30</v>
      </c>
      <c r="G22" s="8" t="s">
        <v>75</v>
      </c>
      <c r="H22" s="8"/>
      <c r="I22" s="8" t="s">
        <v>32</v>
      </c>
      <c r="J22" s="9"/>
      <c r="K22" s="7"/>
      <c r="L22" s="8"/>
      <c r="M22" s="7" t="s">
        <v>116</v>
      </c>
    </row>
    <row r="23" customFormat="false" ht="23.85" hidden="false" customHeight="false" outlineLevel="0" collapsed="false">
      <c r="A23" s="7" t="s">
        <v>117</v>
      </c>
      <c r="B23" s="7"/>
      <c r="C23" s="7"/>
      <c r="D23" s="7"/>
      <c r="E23" s="8" t="s">
        <v>29</v>
      </c>
      <c r="F23" s="8" t="s">
        <v>30</v>
      </c>
      <c r="G23" s="8" t="s">
        <v>75</v>
      </c>
      <c r="H23" s="8"/>
      <c r="I23" s="8" t="s">
        <v>32</v>
      </c>
      <c r="J23" s="9"/>
      <c r="K23" s="7"/>
      <c r="L23" s="8"/>
      <c r="M23" s="7" t="s">
        <v>118</v>
      </c>
    </row>
    <row r="24" customFormat="false" ht="23.85" hidden="false" customHeight="false" outlineLevel="0" collapsed="false">
      <c r="A24" s="7" t="s">
        <v>119</v>
      </c>
      <c r="B24" s="7"/>
      <c r="C24" s="7"/>
      <c r="D24" s="7"/>
      <c r="E24" s="8" t="s">
        <v>29</v>
      </c>
      <c r="F24" s="8" t="s">
        <v>30</v>
      </c>
      <c r="G24" s="8" t="s">
        <v>75</v>
      </c>
      <c r="H24" s="8"/>
      <c r="I24" s="8" t="s">
        <v>32</v>
      </c>
      <c r="J24" s="9"/>
      <c r="K24" s="7"/>
      <c r="L24" s="8"/>
      <c r="M24" s="7" t="s">
        <v>120</v>
      </c>
    </row>
    <row r="25" customFormat="false" ht="23.85" hidden="false" customHeight="false" outlineLevel="0" collapsed="false">
      <c r="A25" s="7" t="s">
        <v>121</v>
      </c>
      <c r="B25" s="7"/>
      <c r="C25" s="7"/>
      <c r="D25" s="7"/>
      <c r="E25" s="8" t="s">
        <v>29</v>
      </c>
      <c r="F25" s="8" t="s">
        <v>30</v>
      </c>
      <c r="G25" s="8" t="s">
        <v>75</v>
      </c>
      <c r="H25" s="8"/>
      <c r="I25" s="8" t="s">
        <v>32</v>
      </c>
      <c r="J25" s="9"/>
      <c r="K25" s="7"/>
      <c r="L25" s="8"/>
      <c r="M25" s="7" t="s">
        <v>122</v>
      </c>
    </row>
    <row r="26" customFormat="false" ht="23.85" hidden="false" customHeight="false" outlineLevel="0" collapsed="false">
      <c r="A26" s="7" t="s">
        <v>123</v>
      </c>
      <c r="B26" s="7"/>
      <c r="C26" s="7"/>
      <c r="D26" s="7"/>
      <c r="E26" s="8" t="s">
        <v>29</v>
      </c>
      <c r="F26" s="8" t="s">
        <v>30</v>
      </c>
      <c r="G26" s="8" t="s">
        <v>75</v>
      </c>
      <c r="H26" s="8"/>
      <c r="I26" s="8" t="s">
        <v>32</v>
      </c>
      <c r="J26" s="9"/>
      <c r="K26" s="7"/>
      <c r="L26" s="8"/>
      <c r="M26" s="7" t="s">
        <v>124</v>
      </c>
    </row>
    <row r="27" customFormat="false" ht="23.85" hidden="false" customHeight="false" outlineLevel="0" collapsed="false">
      <c r="A27" s="7" t="s">
        <v>125</v>
      </c>
      <c r="B27" s="7"/>
      <c r="C27" s="7"/>
      <c r="D27" s="7"/>
      <c r="E27" s="8" t="s">
        <v>29</v>
      </c>
      <c r="F27" s="8" t="s">
        <v>30</v>
      </c>
      <c r="G27" s="8" t="s">
        <v>75</v>
      </c>
      <c r="H27" s="8"/>
      <c r="I27" s="8" t="s">
        <v>32</v>
      </c>
      <c r="J27" s="9"/>
      <c r="K27" s="7"/>
      <c r="L27" s="8"/>
      <c r="M27" s="7" t="s">
        <v>126</v>
      </c>
    </row>
    <row r="28" customFormat="false" ht="23.85" hidden="false" customHeight="false" outlineLevel="0" collapsed="false">
      <c r="A28" s="7" t="s">
        <v>127</v>
      </c>
      <c r="B28" s="7"/>
      <c r="C28" s="7"/>
      <c r="D28" s="7"/>
      <c r="E28" s="8" t="s">
        <v>29</v>
      </c>
      <c r="F28" s="8" t="s">
        <v>30</v>
      </c>
      <c r="G28" s="8" t="s">
        <v>75</v>
      </c>
      <c r="H28" s="8"/>
      <c r="I28" s="8" t="s">
        <v>32</v>
      </c>
      <c r="J28" s="9"/>
      <c r="K28" s="7"/>
      <c r="L28" s="8"/>
      <c r="M28" s="7" t="s">
        <v>128</v>
      </c>
    </row>
    <row r="29" customFormat="false" ht="23.85" hidden="false" customHeight="false" outlineLevel="0" collapsed="false">
      <c r="A29" s="7" t="s">
        <v>129</v>
      </c>
      <c r="B29" s="7"/>
      <c r="C29" s="7"/>
      <c r="D29" s="7"/>
      <c r="E29" s="8" t="s">
        <v>29</v>
      </c>
      <c r="F29" s="8" t="s">
        <v>30</v>
      </c>
      <c r="G29" s="8" t="s">
        <v>75</v>
      </c>
      <c r="H29" s="8"/>
      <c r="I29" s="8" t="s">
        <v>32</v>
      </c>
      <c r="J29" s="9"/>
      <c r="K29" s="7"/>
      <c r="L29" s="8"/>
      <c r="M29" s="7" t="s">
        <v>130</v>
      </c>
    </row>
    <row r="30" customFormat="false" ht="23.85" hidden="false" customHeight="false" outlineLevel="0" collapsed="false">
      <c r="A30" s="7" t="s">
        <v>131</v>
      </c>
      <c r="B30" s="7"/>
      <c r="C30" s="7"/>
      <c r="D30" s="7"/>
      <c r="E30" s="8" t="s">
        <v>29</v>
      </c>
      <c r="F30" s="8" t="s">
        <v>30</v>
      </c>
      <c r="G30" s="8" t="s">
        <v>75</v>
      </c>
      <c r="H30" s="8"/>
      <c r="I30" s="8" t="s">
        <v>32</v>
      </c>
      <c r="J30" s="9"/>
      <c r="K30" s="7"/>
      <c r="L30" s="8"/>
      <c r="M30" s="7" t="s">
        <v>132</v>
      </c>
    </row>
    <row r="31" customFormat="false" ht="23.85" hidden="false" customHeight="false" outlineLevel="0" collapsed="false">
      <c r="A31" s="7" t="s">
        <v>133</v>
      </c>
      <c r="B31" s="7"/>
      <c r="C31" s="7"/>
      <c r="D31" s="7"/>
      <c r="E31" s="8" t="s">
        <v>29</v>
      </c>
      <c r="F31" s="8" t="s">
        <v>30</v>
      </c>
      <c r="G31" s="8" t="s">
        <v>75</v>
      </c>
      <c r="H31" s="8"/>
      <c r="I31" s="8" t="s">
        <v>32</v>
      </c>
      <c r="J31" s="9"/>
      <c r="K31" s="7"/>
      <c r="L31" s="8"/>
      <c r="M31" s="7" t="s">
        <v>134</v>
      </c>
    </row>
    <row r="32" customFormat="false" ht="23.85" hidden="false" customHeight="false" outlineLevel="0" collapsed="false">
      <c r="A32" s="7" t="s">
        <v>135</v>
      </c>
      <c r="B32" s="7"/>
      <c r="C32" s="7"/>
      <c r="D32" s="7"/>
      <c r="E32" s="8" t="s">
        <v>29</v>
      </c>
      <c r="F32" s="8" t="s">
        <v>30</v>
      </c>
      <c r="G32" s="8" t="s">
        <v>75</v>
      </c>
      <c r="H32" s="8"/>
      <c r="I32" s="8" t="s">
        <v>32</v>
      </c>
      <c r="J32" s="9"/>
      <c r="K32" s="7"/>
      <c r="L32" s="8"/>
      <c r="M32" s="7" t="s">
        <v>136</v>
      </c>
    </row>
    <row r="33" customFormat="false" ht="23.85" hidden="false" customHeight="false" outlineLevel="0" collapsed="false">
      <c r="A33" s="7" t="s">
        <v>137</v>
      </c>
      <c r="B33" s="7"/>
      <c r="C33" s="7"/>
      <c r="D33" s="7"/>
      <c r="E33" s="8" t="s">
        <v>29</v>
      </c>
      <c r="F33" s="8" t="s">
        <v>30</v>
      </c>
      <c r="G33" s="8" t="s">
        <v>75</v>
      </c>
      <c r="H33" s="8"/>
      <c r="I33" s="8" t="s">
        <v>32</v>
      </c>
      <c r="J33" s="9"/>
      <c r="K33" s="7"/>
      <c r="L33" s="8"/>
      <c r="M33" s="7" t="s">
        <v>138</v>
      </c>
    </row>
    <row r="34" customFormat="false" ht="23.85" hidden="false" customHeight="false" outlineLevel="0" collapsed="false">
      <c r="A34" s="7" t="s">
        <v>139</v>
      </c>
      <c r="B34" s="7"/>
      <c r="C34" s="7"/>
      <c r="D34" s="7"/>
      <c r="E34" s="8" t="s">
        <v>29</v>
      </c>
      <c r="F34" s="8" t="s">
        <v>30</v>
      </c>
      <c r="G34" s="8" t="s">
        <v>75</v>
      </c>
      <c r="H34" s="8"/>
      <c r="I34" s="8" t="s">
        <v>32</v>
      </c>
      <c r="J34" s="9"/>
      <c r="K34" s="7"/>
      <c r="L34" s="8"/>
      <c r="M34" s="7" t="s">
        <v>140</v>
      </c>
    </row>
    <row r="35" customFormat="false" ht="23.85" hidden="false" customHeight="false" outlineLevel="0" collapsed="false">
      <c r="A35" s="7" t="s">
        <v>141</v>
      </c>
      <c r="B35" s="7"/>
      <c r="C35" s="7"/>
      <c r="D35" s="7"/>
      <c r="E35" s="8" t="s">
        <v>29</v>
      </c>
      <c r="F35" s="8" t="s">
        <v>30</v>
      </c>
      <c r="G35" s="8" t="s">
        <v>75</v>
      </c>
      <c r="H35" s="8"/>
      <c r="I35" s="8" t="s">
        <v>32</v>
      </c>
      <c r="J35" s="9"/>
      <c r="K35" s="7"/>
      <c r="L35" s="8"/>
      <c r="M35" s="7" t="s">
        <v>142</v>
      </c>
    </row>
    <row r="36" customFormat="false" ht="23.85" hidden="false" customHeight="false" outlineLevel="0" collapsed="false">
      <c r="A36" s="7" t="s">
        <v>143</v>
      </c>
      <c r="B36" s="7"/>
      <c r="C36" s="7"/>
      <c r="D36" s="7"/>
      <c r="E36" s="8" t="s">
        <v>29</v>
      </c>
      <c r="F36" s="8" t="s">
        <v>30</v>
      </c>
      <c r="G36" s="8" t="s">
        <v>75</v>
      </c>
      <c r="H36" s="8"/>
      <c r="I36" s="8" t="s">
        <v>32</v>
      </c>
      <c r="J36" s="9"/>
      <c r="K36" s="7"/>
      <c r="L36" s="8"/>
      <c r="M36" s="7" t="s">
        <v>144</v>
      </c>
    </row>
    <row r="37" customFormat="false" ht="23.85" hidden="false" customHeight="false" outlineLevel="0" collapsed="false">
      <c r="A37" s="7" t="s">
        <v>145</v>
      </c>
      <c r="B37" s="7"/>
      <c r="C37" s="7"/>
      <c r="D37" s="7"/>
      <c r="E37" s="8" t="s">
        <v>29</v>
      </c>
      <c r="F37" s="8" t="s">
        <v>30</v>
      </c>
      <c r="G37" s="8" t="s">
        <v>75</v>
      </c>
      <c r="H37" s="8"/>
      <c r="I37" s="8" t="s">
        <v>32</v>
      </c>
      <c r="J37" s="9"/>
      <c r="K37" s="7"/>
      <c r="L37" s="8"/>
      <c r="M37" s="7" t="s">
        <v>146</v>
      </c>
    </row>
    <row r="38" customFormat="false" ht="23.85" hidden="false" customHeight="false" outlineLevel="0" collapsed="false">
      <c r="A38" s="7" t="s">
        <v>147</v>
      </c>
      <c r="B38" s="7"/>
      <c r="C38" s="7"/>
      <c r="D38" s="7"/>
      <c r="E38" s="8" t="s">
        <v>29</v>
      </c>
      <c r="F38" s="8" t="s">
        <v>30</v>
      </c>
      <c r="G38" s="8" t="s">
        <v>75</v>
      </c>
      <c r="H38" s="8"/>
      <c r="I38" s="8" t="s">
        <v>32</v>
      </c>
      <c r="J38" s="9"/>
      <c r="K38" s="7"/>
      <c r="L38" s="8"/>
      <c r="M38" s="7" t="s">
        <v>148</v>
      </c>
    </row>
    <row r="39" customFormat="false" ht="23.85" hidden="false" customHeight="false" outlineLevel="0" collapsed="false">
      <c r="A39" s="7" t="s">
        <v>149</v>
      </c>
      <c r="B39" s="7"/>
      <c r="C39" s="7"/>
      <c r="D39" s="7"/>
      <c r="E39" s="8" t="s">
        <v>29</v>
      </c>
      <c r="F39" s="8" t="s">
        <v>30</v>
      </c>
      <c r="G39" s="8" t="s">
        <v>75</v>
      </c>
      <c r="H39" s="8"/>
      <c r="I39" s="8" t="s">
        <v>32</v>
      </c>
      <c r="J39" s="9"/>
      <c r="K39" s="7"/>
      <c r="L39" s="8"/>
      <c r="M39" s="7" t="s">
        <v>150</v>
      </c>
    </row>
    <row r="40" customFormat="false" ht="23.85" hidden="false" customHeight="false" outlineLevel="0" collapsed="false">
      <c r="A40" s="7" t="s">
        <v>151</v>
      </c>
      <c r="B40" s="7"/>
      <c r="C40" s="7"/>
      <c r="D40" s="7"/>
      <c r="E40" s="8" t="s">
        <v>29</v>
      </c>
      <c r="F40" s="8" t="s">
        <v>30</v>
      </c>
      <c r="G40" s="8" t="s">
        <v>75</v>
      </c>
      <c r="H40" s="8"/>
      <c r="I40" s="8" t="s">
        <v>32</v>
      </c>
      <c r="J40" s="9"/>
      <c r="K40" s="7"/>
      <c r="L40" s="8"/>
      <c r="M40" s="7" t="s">
        <v>152</v>
      </c>
    </row>
    <row r="41" customFormat="false" ht="23.85" hidden="false" customHeight="false" outlineLevel="0" collapsed="false">
      <c r="A41" s="7" t="s">
        <v>153</v>
      </c>
      <c r="B41" s="7"/>
      <c r="C41" s="7"/>
      <c r="D41" s="7"/>
      <c r="E41" s="8" t="s">
        <v>29</v>
      </c>
      <c r="F41" s="8" t="s">
        <v>30</v>
      </c>
      <c r="G41" s="8" t="s">
        <v>75</v>
      </c>
      <c r="H41" s="8"/>
      <c r="I41" s="8" t="s">
        <v>32</v>
      </c>
      <c r="J41" s="9"/>
      <c r="K41" s="11" t="s">
        <v>154</v>
      </c>
      <c r="L41" s="8"/>
      <c r="M41" s="7" t="s">
        <v>155</v>
      </c>
    </row>
    <row r="42" customFormat="false" ht="23.85" hidden="false" customHeight="false" outlineLevel="0" collapsed="false">
      <c r="A42" s="7" t="s">
        <v>156</v>
      </c>
      <c r="B42" s="7"/>
      <c r="C42" s="7"/>
      <c r="D42" s="7"/>
      <c r="E42" s="8" t="s">
        <v>29</v>
      </c>
      <c r="F42" s="8" t="s">
        <v>30</v>
      </c>
      <c r="G42" s="8" t="s">
        <v>75</v>
      </c>
      <c r="H42" s="8"/>
      <c r="I42" s="8" t="s">
        <v>32</v>
      </c>
      <c r="J42" s="9"/>
      <c r="K42" s="11" t="s">
        <v>157</v>
      </c>
      <c r="L42" s="8"/>
      <c r="M42" s="7" t="s">
        <v>158</v>
      </c>
    </row>
    <row r="43" customFormat="false" ht="23.85" hidden="false" customHeight="false" outlineLevel="0" collapsed="false">
      <c r="A43" s="7" t="s">
        <v>159</v>
      </c>
      <c r="B43" s="7"/>
      <c r="C43" s="7"/>
      <c r="D43" s="7"/>
      <c r="E43" s="8" t="s">
        <v>29</v>
      </c>
      <c r="F43" s="8" t="s">
        <v>30</v>
      </c>
      <c r="G43" s="8" t="s">
        <v>75</v>
      </c>
      <c r="H43" s="8"/>
      <c r="I43" s="8" t="s">
        <v>32</v>
      </c>
      <c r="J43" s="9"/>
      <c r="K43" s="11" t="s">
        <v>160</v>
      </c>
      <c r="L43" s="8"/>
      <c r="M43" s="7" t="s">
        <v>161</v>
      </c>
    </row>
    <row r="44" customFormat="false" ht="23.85" hidden="false" customHeight="false" outlineLevel="0" collapsed="false">
      <c r="A44" s="7" t="s">
        <v>162</v>
      </c>
      <c r="B44" s="7"/>
      <c r="C44" s="7"/>
      <c r="D44" s="7"/>
      <c r="E44" s="8" t="s">
        <v>29</v>
      </c>
      <c r="F44" s="8" t="s">
        <v>30</v>
      </c>
      <c r="G44" s="8" t="s">
        <v>75</v>
      </c>
      <c r="H44" s="8"/>
      <c r="I44" s="8" t="s">
        <v>32</v>
      </c>
      <c r="J44" s="9"/>
      <c r="K44" s="7"/>
      <c r="L44" s="8"/>
      <c r="M44" s="7" t="s">
        <v>163</v>
      </c>
    </row>
    <row r="45" customFormat="false" ht="23.85" hidden="false" customHeight="false" outlineLevel="0" collapsed="false">
      <c r="A45" s="7" t="s">
        <v>164</v>
      </c>
      <c r="B45" s="7"/>
      <c r="C45" s="7"/>
      <c r="D45" s="7"/>
      <c r="E45" s="8" t="s">
        <v>29</v>
      </c>
      <c r="F45" s="8" t="s">
        <v>30</v>
      </c>
      <c r="G45" s="8" t="s">
        <v>75</v>
      </c>
      <c r="H45" s="8"/>
      <c r="I45" s="8" t="s">
        <v>32</v>
      </c>
      <c r="J45" s="9"/>
      <c r="K45" s="7"/>
      <c r="L45" s="8"/>
      <c r="M45" s="7" t="s">
        <v>165</v>
      </c>
    </row>
    <row r="46" customFormat="false" ht="23.85" hidden="false" customHeight="false" outlineLevel="0" collapsed="false">
      <c r="A46" s="7" t="s">
        <v>166</v>
      </c>
      <c r="B46" s="7"/>
      <c r="C46" s="7"/>
      <c r="D46" s="7"/>
      <c r="E46" s="8" t="s">
        <v>29</v>
      </c>
      <c r="F46" s="8" t="s">
        <v>30</v>
      </c>
      <c r="G46" s="8" t="s">
        <v>75</v>
      </c>
      <c r="H46" s="8"/>
      <c r="I46" s="8" t="s">
        <v>32</v>
      </c>
      <c r="J46" s="9"/>
      <c r="K46" s="7"/>
      <c r="L46" s="8"/>
      <c r="M46" s="7" t="s">
        <v>167</v>
      </c>
    </row>
    <row r="47" customFormat="false" ht="23.85" hidden="false" customHeight="false" outlineLevel="0" collapsed="false">
      <c r="A47" s="7" t="s">
        <v>168</v>
      </c>
      <c r="B47" s="7"/>
      <c r="C47" s="7"/>
      <c r="D47" s="7"/>
      <c r="E47" s="8" t="s">
        <v>29</v>
      </c>
      <c r="F47" s="8" t="s">
        <v>30</v>
      </c>
      <c r="G47" s="8" t="s">
        <v>75</v>
      </c>
      <c r="H47" s="8"/>
      <c r="I47" s="8" t="s">
        <v>32</v>
      </c>
      <c r="J47" s="9"/>
      <c r="K47" s="7"/>
      <c r="L47" s="8"/>
      <c r="M47" s="7" t="s">
        <v>169</v>
      </c>
    </row>
    <row r="48" customFormat="false" ht="23.85" hidden="false" customHeight="false" outlineLevel="0" collapsed="false">
      <c r="A48" s="7" t="s">
        <v>170</v>
      </c>
      <c r="B48" s="7"/>
      <c r="C48" s="7"/>
      <c r="D48" s="7"/>
      <c r="E48" s="8" t="s">
        <v>29</v>
      </c>
      <c r="F48" s="8" t="s">
        <v>30</v>
      </c>
      <c r="G48" s="8" t="s">
        <v>75</v>
      </c>
      <c r="H48" s="8"/>
      <c r="I48" s="8" t="s">
        <v>32</v>
      </c>
      <c r="J48" s="9"/>
      <c r="K48" s="7"/>
      <c r="L48" s="8"/>
      <c r="M48" s="7" t="s">
        <v>171</v>
      </c>
    </row>
    <row r="49" customFormat="false" ht="23.85" hidden="false" customHeight="false" outlineLevel="0" collapsed="false">
      <c r="A49" s="7" t="s">
        <v>172</v>
      </c>
      <c r="B49" s="7"/>
      <c r="C49" s="7"/>
      <c r="D49" s="7"/>
      <c r="E49" s="8" t="s">
        <v>29</v>
      </c>
      <c r="F49" s="8" t="s">
        <v>30</v>
      </c>
      <c r="G49" s="8" t="s">
        <v>75</v>
      </c>
      <c r="H49" s="8"/>
      <c r="I49" s="8" t="s">
        <v>32</v>
      </c>
      <c r="J49" s="9"/>
      <c r="K49" s="7"/>
      <c r="L49" s="8"/>
      <c r="M49" s="7" t="s">
        <v>173</v>
      </c>
    </row>
    <row r="50" customFormat="false" ht="23.85" hidden="false" customHeight="false" outlineLevel="0" collapsed="false">
      <c r="A50" s="7" t="s">
        <v>174</v>
      </c>
      <c r="B50" s="7"/>
      <c r="C50" s="7"/>
      <c r="D50" s="7"/>
      <c r="E50" s="8" t="s">
        <v>29</v>
      </c>
      <c r="F50" s="8" t="s">
        <v>30</v>
      </c>
      <c r="G50" s="8" t="s">
        <v>75</v>
      </c>
      <c r="H50" s="8"/>
      <c r="I50" s="8" t="s">
        <v>32</v>
      </c>
      <c r="J50" s="9"/>
      <c r="K50" s="7"/>
      <c r="L50" s="8"/>
      <c r="M50" s="7" t="s">
        <v>175</v>
      </c>
    </row>
    <row r="51" customFormat="false" ht="23.85" hidden="false" customHeight="false" outlineLevel="0" collapsed="false">
      <c r="A51" s="7" t="s">
        <v>176</v>
      </c>
      <c r="B51" s="7"/>
      <c r="C51" s="7"/>
      <c r="D51" s="7"/>
      <c r="E51" s="8" t="s">
        <v>29</v>
      </c>
      <c r="F51" s="8" t="s">
        <v>30</v>
      </c>
      <c r="G51" s="8" t="s">
        <v>75</v>
      </c>
      <c r="H51" s="8"/>
      <c r="I51" s="8" t="s">
        <v>32</v>
      </c>
      <c r="J51" s="9"/>
      <c r="K51" s="7"/>
      <c r="L51" s="8"/>
      <c r="M51" s="7" t="s">
        <v>177</v>
      </c>
    </row>
    <row r="52" customFormat="false" ht="23.85" hidden="false" customHeight="false" outlineLevel="0" collapsed="false">
      <c r="A52" s="7" t="s">
        <v>178</v>
      </c>
      <c r="B52" s="7"/>
      <c r="C52" s="7"/>
      <c r="D52" s="7"/>
      <c r="E52" s="8" t="s">
        <v>29</v>
      </c>
      <c r="F52" s="8" t="s">
        <v>30</v>
      </c>
      <c r="G52" s="8" t="s">
        <v>75</v>
      </c>
      <c r="H52" s="8"/>
      <c r="I52" s="8" t="s">
        <v>32</v>
      </c>
      <c r="J52" s="9"/>
      <c r="K52" s="7"/>
      <c r="L52" s="8"/>
      <c r="M52" s="7" t="s">
        <v>179</v>
      </c>
    </row>
    <row r="53" customFormat="false" ht="23.85" hidden="false" customHeight="false" outlineLevel="0" collapsed="false">
      <c r="A53" s="7" t="s">
        <v>180</v>
      </c>
      <c r="B53" s="7"/>
      <c r="C53" s="7"/>
      <c r="D53" s="7"/>
      <c r="E53" s="8" t="s">
        <v>29</v>
      </c>
      <c r="F53" s="8" t="s">
        <v>30</v>
      </c>
      <c r="G53" s="8" t="s">
        <v>75</v>
      </c>
      <c r="H53" s="8"/>
      <c r="I53" s="8" t="s">
        <v>32</v>
      </c>
      <c r="J53" s="9"/>
      <c r="K53" s="7"/>
      <c r="L53" s="8"/>
      <c r="M53" s="7" t="s">
        <v>181</v>
      </c>
    </row>
    <row r="54" customFormat="false" ht="23.85" hidden="false" customHeight="false" outlineLevel="0" collapsed="false">
      <c r="A54" s="7" t="s">
        <v>182</v>
      </c>
      <c r="B54" s="7"/>
      <c r="C54" s="7"/>
      <c r="D54" s="7"/>
      <c r="E54" s="8" t="s">
        <v>29</v>
      </c>
      <c r="F54" s="8" t="s">
        <v>30</v>
      </c>
      <c r="G54" s="8" t="s">
        <v>75</v>
      </c>
      <c r="H54" s="8"/>
      <c r="I54" s="8" t="s">
        <v>32</v>
      </c>
      <c r="J54" s="9"/>
      <c r="K54" s="7"/>
      <c r="L54" s="8"/>
      <c r="M54" s="7" t="s">
        <v>183</v>
      </c>
    </row>
    <row r="55" customFormat="false" ht="23.85" hidden="false" customHeight="false" outlineLevel="0" collapsed="false">
      <c r="A55" s="7" t="s">
        <v>184</v>
      </c>
      <c r="B55" s="7"/>
      <c r="C55" s="7"/>
      <c r="D55" s="7"/>
      <c r="E55" s="8" t="s">
        <v>29</v>
      </c>
      <c r="F55" s="8" t="s">
        <v>30</v>
      </c>
      <c r="G55" s="8" t="s">
        <v>75</v>
      </c>
      <c r="H55" s="8"/>
      <c r="I55" s="8" t="s">
        <v>32</v>
      </c>
      <c r="J55" s="9"/>
      <c r="K55" s="7"/>
      <c r="L55" s="8"/>
      <c r="M55" s="7" t="s">
        <v>185</v>
      </c>
    </row>
    <row r="56" customFormat="false" ht="15" hidden="false" customHeight="false" outlineLevel="0" collapsed="false">
      <c r="A56" s="7" t="s">
        <v>153</v>
      </c>
      <c r="B56" s="7"/>
      <c r="C56" s="7"/>
      <c r="D56" s="7"/>
      <c r="E56" s="8" t="s">
        <v>33</v>
      </c>
      <c r="F56" s="8" t="s">
        <v>34</v>
      </c>
      <c r="G56" s="8" t="s">
        <v>75</v>
      </c>
      <c r="H56" s="8"/>
      <c r="I56" s="8" t="s">
        <v>32</v>
      </c>
      <c r="J56" s="9"/>
      <c r="K56" s="11" t="s">
        <v>186</v>
      </c>
      <c r="L56" s="8"/>
      <c r="M56" s="7" t="s">
        <v>187</v>
      </c>
    </row>
    <row r="57" customFormat="false" ht="15" hidden="false" customHeight="false" outlineLevel="0" collapsed="false">
      <c r="A57" s="7" t="s">
        <v>188</v>
      </c>
      <c r="B57" s="7"/>
      <c r="C57" s="7"/>
      <c r="D57" s="7"/>
      <c r="E57" s="8" t="s">
        <v>33</v>
      </c>
      <c r="F57" s="8" t="s">
        <v>34</v>
      </c>
      <c r="G57" s="8" t="s">
        <v>75</v>
      </c>
      <c r="H57" s="8"/>
      <c r="I57" s="8" t="s">
        <v>32</v>
      </c>
      <c r="J57" s="9"/>
      <c r="K57" s="7"/>
      <c r="L57" s="8"/>
      <c r="M57" s="7" t="s">
        <v>189</v>
      </c>
    </row>
    <row r="58" customFormat="false" ht="15" hidden="false" customHeight="false" outlineLevel="0" collapsed="false">
      <c r="A58" s="7" t="s">
        <v>190</v>
      </c>
      <c r="B58" s="7"/>
      <c r="C58" s="7"/>
      <c r="D58" s="7"/>
      <c r="E58" s="8" t="s">
        <v>33</v>
      </c>
      <c r="F58" s="8" t="s">
        <v>34</v>
      </c>
      <c r="G58" s="8" t="s">
        <v>75</v>
      </c>
      <c r="H58" s="8"/>
      <c r="I58" s="8" t="s">
        <v>32</v>
      </c>
      <c r="J58" s="9"/>
      <c r="K58" s="7"/>
      <c r="L58" s="8"/>
      <c r="M58" s="7" t="s">
        <v>191</v>
      </c>
    </row>
    <row r="59" customFormat="false" ht="15" hidden="false" customHeight="false" outlineLevel="0" collapsed="false">
      <c r="A59" s="7" t="s">
        <v>192</v>
      </c>
      <c r="B59" s="7"/>
      <c r="C59" s="7"/>
      <c r="D59" s="7"/>
      <c r="E59" s="8" t="s">
        <v>33</v>
      </c>
      <c r="F59" s="8" t="s">
        <v>34</v>
      </c>
      <c r="G59" s="8" t="s">
        <v>75</v>
      </c>
      <c r="H59" s="8"/>
      <c r="I59" s="8" t="s">
        <v>32</v>
      </c>
      <c r="J59" s="9"/>
      <c r="K59" s="11" t="s">
        <v>193</v>
      </c>
      <c r="L59" s="8"/>
      <c r="M59" s="7" t="s">
        <v>194</v>
      </c>
    </row>
    <row r="60" customFormat="false" ht="15" hidden="false" customHeight="false" outlineLevel="0" collapsed="false">
      <c r="A60" s="7" t="s">
        <v>195</v>
      </c>
      <c r="B60" s="7"/>
      <c r="C60" s="7"/>
      <c r="D60" s="7"/>
      <c r="E60" s="8" t="s">
        <v>33</v>
      </c>
      <c r="F60" s="8" t="s">
        <v>34</v>
      </c>
      <c r="G60" s="8" t="s">
        <v>75</v>
      </c>
      <c r="H60" s="8"/>
      <c r="I60" s="8" t="s">
        <v>32</v>
      </c>
      <c r="J60" s="9"/>
      <c r="K60" s="7"/>
      <c r="L60" s="8" t="s">
        <v>196</v>
      </c>
      <c r="M60" s="7" t="s">
        <v>197</v>
      </c>
    </row>
    <row r="61" customFormat="false" ht="15" hidden="false" customHeight="false" outlineLevel="0" collapsed="false">
      <c r="A61" s="7" t="s">
        <v>198</v>
      </c>
      <c r="B61" s="7"/>
      <c r="C61" s="7"/>
      <c r="D61" s="7"/>
      <c r="E61" s="8" t="s">
        <v>36</v>
      </c>
      <c r="F61" s="8" t="s">
        <v>37</v>
      </c>
      <c r="G61" s="8" t="s">
        <v>75</v>
      </c>
      <c r="H61" s="8"/>
      <c r="I61" s="8" t="s">
        <v>32</v>
      </c>
      <c r="J61" s="9"/>
      <c r="K61" s="7"/>
      <c r="L61" s="8"/>
      <c r="M61" s="7" t="s">
        <v>199</v>
      </c>
    </row>
    <row r="62" customFormat="false" ht="15" hidden="false" customHeight="false" outlineLevel="0" collapsed="false">
      <c r="A62" s="7" t="s">
        <v>200</v>
      </c>
      <c r="B62" s="7"/>
      <c r="C62" s="7"/>
      <c r="D62" s="7"/>
      <c r="E62" s="8" t="s">
        <v>36</v>
      </c>
      <c r="F62" s="8" t="s">
        <v>37</v>
      </c>
      <c r="G62" s="8" t="s">
        <v>75</v>
      </c>
      <c r="H62" s="8"/>
      <c r="I62" s="8" t="s">
        <v>32</v>
      </c>
      <c r="J62" s="9"/>
      <c r="K62" s="7"/>
      <c r="L62" s="8"/>
      <c r="M62" s="7" t="s">
        <v>201</v>
      </c>
    </row>
    <row r="63" customFormat="false" ht="15" hidden="false" customHeight="false" outlineLevel="0" collapsed="false">
      <c r="A63" s="7" t="s">
        <v>202</v>
      </c>
      <c r="B63" s="7"/>
      <c r="C63" s="7"/>
      <c r="D63" s="7"/>
      <c r="E63" s="8" t="s">
        <v>36</v>
      </c>
      <c r="F63" s="8" t="s">
        <v>37</v>
      </c>
      <c r="G63" s="8" t="s">
        <v>75</v>
      </c>
      <c r="H63" s="8"/>
      <c r="I63" s="8" t="s">
        <v>32</v>
      </c>
      <c r="J63" s="9"/>
      <c r="K63" s="7"/>
      <c r="L63" s="8"/>
      <c r="M63" s="7" t="s">
        <v>203</v>
      </c>
    </row>
    <row r="64" customFormat="false" ht="15" hidden="false" customHeight="false" outlineLevel="0" collapsed="false">
      <c r="A64" s="7" t="s">
        <v>204</v>
      </c>
      <c r="B64" s="7"/>
      <c r="C64" s="7"/>
      <c r="D64" s="7"/>
      <c r="E64" s="8" t="s">
        <v>39</v>
      </c>
      <c r="F64" s="8" t="s">
        <v>40</v>
      </c>
      <c r="G64" s="8" t="s">
        <v>75</v>
      </c>
      <c r="H64" s="8"/>
      <c r="I64" s="8" t="s">
        <v>32</v>
      </c>
      <c r="J64" s="9"/>
      <c r="K64" s="11" t="s">
        <v>205</v>
      </c>
      <c r="L64" s="8"/>
      <c r="M64" s="7" t="s">
        <v>206</v>
      </c>
    </row>
    <row r="65" customFormat="false" ht="15" hidden="false" customHeight="false" outlineLevel="0" collapsed="false">
      <c r="A65" s="7" t="s">
        <v>207</v>
      </c>
      <c r="B65" s="7"/>
      <c r="C65" s="7"/>
      <c r="D65" s="7"/>
      <c r="E65" s="8" t="s">
        <v>42</v>
      </c>
      <c r="F65" s="8" t="s">
        <v>43</v>
      </c>
      <c r="G65" s="8" t="s">
        <v>75</v>
      </c>
      <c r="H65" s="8"/>
      <c r="I65" s="8" t="s">
        <v>32</v>
      </c>
      <c r="J65" s="9"/>
      <c r="K65" s="7"/>
      <c r="L65" s="8"/>
      <c r="M65" s="7" t="s">
        <v>208</v>
      </c>
    </row>
    <row r="66" customFormat="false" ht="15" hidden="false" customHeight="false" outlineLevel="0" collapsed="false">
      <c r="A66" s="7" t="s">
        <v>209</v>
      </c>
      <c r="B66" s="7"/>
      <c r="C66" s="7"/>
      <c r="D66" s="7"/>
      <c r="E66" s="8" t="s">
        <v>42</v>
      </c>
      <c r="F66" s="8" t="s">
        <v>43</v>
      </c>
      <c r="G66" s="8" t="s">
        <v>75</v>
      </c>
      <c r="H66" s="8"/>
      <c r="I66" s="8" t="s">
        <v>32</v>
      </c>
      <c r="J66" s="9"/>
      <c r="K66" s="11" t="s">
        <v>210</v>
      </c>
      <c r="L66" s="8"/>
      <c r="M66" s="7" t="s">
        <v>211</v>
      </c>
    </row>
    <row r="67" customFormat="false" ht="23.85" hidden="false" customHeight="false" outlineLevel="0" collapsed="false">
      <c r="A67" s="7" t="s">
        <v>212</v>
      </c>
      <c r="B67" s="7"/>
      <c r="C67" s="7"/>
      <c r="D67" s="7"/>
      <c r="E67" s="8" t="s">
        <v>42</v>
      </c>
      <c r="F67" s="8" t="s">
        <v>43</v>
      </c>
      <c r="G67" s="8" t="s">
        <v>75</v>
      </c>
      <c r="H67" s="8"/>
      <c r="I67" s="8" t="s">
        <v>32</v>
      </c>
      <c r="J67" s="9"/>
      <c r="K67" s="7"/>
      <c r="L67" s="8" t="s">
        <v>213</v>
      </c>
      <c r="M67" s="7" t="s">
        <v>214</v>
      </c>
    </row>
    <row r="68" customFormat="false" ht="15" hidden="false" customHeight="false" outlineLevel="0" collapsed="false">
      <c r="A68" s="7" t="s">
        <v>215</v>
      </c>
      <c r="B68" s="7"/>
      <c r="C68" s="7"/>
      <c r="D68" s="7"/>
      <c r="E68" s="8" t="s">
        <v>45</v>
      </c>
      <c r="F68" s="8" t="s">
        <v>46</v>
      </c>
      <c r="G68" s="8" t="s">
        <v>75</v>
      </c>
      <c r="H68" s="8"/>
      <c r="I68" s="8" t="s">
        <v>32</v>
      </c>
      <c r="J68" s="9"/>
      <c r="K68" s="7"/>
      <c r="L68" s="8"/>
      <c r="M68" s="7" t="s">
        <v>216</v>
      </c>
    </row>
    <row r="69" customFormat="false" ht="15" hidden="false" customHeight="false" outlineLevel="0" collapsed="false">
      <c r="A69" s="7" t="s">
        <v>217</v>
      </c>
      <c r="B69" s="7"/>
      <c r="C69" s="7"/>
      <c r="D69" s="7"/>
      <c r="E69" s="8" t="s">
        <v>45</v>
      </c>
      <c r="F69" s="8" t="s">
        <v>46</v>
      </c>
      <c r="G69" s="8" t="s">
        <v>75</v>
      </c>
      <c r="H69" s="8"/>
      <c r="I69" s="8" t="s">
        <v>32</v>
      </c>
      <c r="J69" s="9"/>
      <c r="K69" s="7"/>
      <c r="L69" s="8"/>
      <c r="M69" s="7" t="s">
        <v>218</v>
      </c>
    </row>
    <row r="70" customFormat="false" ht="15" hidden="false" customHeight="false" outlineLevel="0" collapsed="false">
      <c r="A70" s="7" t="s">
        <v>219</v>
      </c>
      <c r="B70" s="7"/>
      <c r="C70" s="7"/>
      <c r="D70" s="7"/>
      <c r="E70" s="8" t="s">
        <v>45</v>
      </c>
      <c r="F70" s="8" t="s">
        <v>46</v>
      </c>
      <c r="G70" s="8" t="s">
        <v>75</v>
      </c>
      <c r="H70" s="8"/>
      <c r="I70" s="8" t="s">
        <v>32</v>
      </c>
      <c r="J70" s="9"/>
      <c r="K70" s="7"/>
      <c r="L70" s="8"/>
      <c r="M70" s="7" t="s">
        <v>220</v>
      </c>
    </row>
    <row r="71" customFormat="false" ht="15" hidden="false" customHeight="false" outlineLevel="0" collapsed="false">
      <c r="A71" s="7" t="s">
        <v>221</v>
      </c>
      <c r="B71" s="7"/>
      <c r="C71" s="7"/>
      <c r="D71" s="7"/>
      <c r="E71" s="8" t="s">
        <v>45</v>
      </c>
      <c r="F71" s="8" t="s">
        <v>46</v>
      </c>
      <c r="G71" s="8" t="s">
        <v>75</v>
      </c>
      <c r="H71" s="8"/>
      <c r="I71" s="8" t="s">
        <v>32</v>
      </c>
      <c r="J71" s="9"/>
      <c r="K71" s="7"/>
      <c r="L71" s="8"/>
      <c r="M71" s="7" t="s">
        <v>222</v>
      </c>
    </row>
    <row r="72" customFormat="false" ht="15" hidden="false" customHeight="false" outlineLevel="0" collapsed="false">
      <c r="A72" s="7" t="s">
        <v>223</v>
      </c>
      <c r="B72" s="7"/>
      <c r="C72" s="7"/>
      <c r="D72" s="7"/>
      <c r="E72" s="8" t="s">
        <v>45</v>
      </c>
      <c r="F72" s="8" t="s">
        <v>46</v>
      </c>
      <c r="G72" s="8" t="s">
        <v>75</v>
      </c>
      <c r="H72" s="8"/>
      <c r="I72" s="8" t="s">
        <v>32</v>
      </c>
      <c r="J72" s="9"/>
      <c r="K72" s="7"/>
      <c r="L72" s="8"/>
      <c r="M72" s="7" t="s">
        <v>224</v>
      </c>
    </row>
    <row r="73" customFormat="false" ht="15" hidden="false" customHeight="false" outlineLevel="0" collapsed="false">
      <c r="A73" s="7" t="s">
        <v>225</v>
      </c>
      <c r="B73" s="7"/>
      <c r="C73" s="7"/>
      <c r="D73" s="7"/>
      <c r="E73" s="8" t="s">
        <v>45</v>
      </c>
      <c r="F73" s="8" t="s">
        <v>46</v>
      </c>
      <c r="G73" s="8" t="s">
        <v>75</v>
      </c>
      <c r="H73" s="8"/>
      <c r="I73" s="8" t="s">
        <v>32</v>
      </c>
      <c r="J73" s="9"/>
      <c r="K73" s="7"/>
      <c r="L73" s="8"/>
      <c r="M73" s="7" t="s">
        <v>226</v>
      </c>
    </row>
    <row r="74" customFormat="false" ht="15" hidden="false" customHeight="false" outlineLevel="0" collapsed="false">
      <c r="A74" s="7" t="s">
        <v>227</v>
      </c>
      <c r="B74" s="7"/>
      <c r="C74" s="7"/>
      <c r="D74" s="7"/>
      <c r="E74" s="8" t="s">
        <v>45</v>
      </c>
      <c r="F74" s="8" t="s">
        <v>46</v>
      </c>
      <c r="G74" s="8" t="s">
        <v>75</v>
      </c>
      <c r="H74" s="8"/>
      <c r="I74" s="8" t="s">
        <v>32</v>
      </c>
      <c r="J74" s="9"/>
      <c r="K74" s="7"/>
      <c r="L74" s="8"/>
      <c r="M74" s="7" t="s">
        <v>228</v>
      </c>
    </row>
    <row r="75" customFormat="false" ht="15" hidden="false" customHeight="false" outlineLevel="0" collapsed="false">
      <c r="A75" s="7" t="s">
        <v>229</v>
      </c>
      <c r="B75" s="7"/>
      <c r="C75" s="7"/>
      <c r="D75" s="7"/>
      <c r="E75" s="8" t="s">
        <v>45</v>
      </c>
      <c r="F75" s="8" t="s">
        <v>46</v>
      </c>
      <c r="G75" s="8" t="s">
        <v>75</v>
      </c>
      <c r="H75" s="8"/>
      <c r="I75" s="8" t="s">
        <v>32</v>
      </c>
      <c r="J75" s="9"/>
      <c r="K75" s="7"/>
      <c r="L75" s="8"/>
      <c r="M75" s="7" t="s">
        <v>230</v>
      </c>
    </row>
    <row r="76" customFormat="false" ht="15" hidden="false" customHeight="false" outlineLevel="0" collapsed="false">
      <c r="A76" s="7" t="s">
        <v>231</v>
      </c>
      <c r="B76" s="7"/>
      <c r="C76" s="7"/>
      <c r="D76" s="7"/>
      <c r="E76" s="8" t="s">
        <v>45</v>
      </c>
      <c r="F76" s="8" t="s">
        <v>46</v>
      </c>
      <c r="G76" s="8" t="s">
        <v>75</v>
      </c>
      <c r="H76" s="8"/>
      <c r="I76" s="8" t="s">
        <v>32</v>
      </c>
      <c r="J76" s="9"/>
      <c r="K76" s="7"/>
      <c r="L76" s="8"/>
      <c r="M76" s="7" t="s">
        <v>232</v>
      </c>
    </row>
    <row r="77" customFormat="false" ht="15" hidden="false" customHeight="false" outlineLevel="0" collapsed="false">
      <c r="A77" s="7" t="s">
        <v>233</v>
      </c>
      <c r="B77" s="7"/>
      <c r="C77" s="7"/>
      <c r="D77" s="7"/>
      <c r="E77" s="8" t="s">
        <v>45</v>
      </c>
      <c r="F77" s="8" t="s">
        <v>46</v>
      </c>
      <c r="G77" s="8" t="s">
        <v>75</v>
      </c>
      <c r="H77" s="8"/>
      <c r="I77" s="8" t="s">
        <v>32</v>
      </c>
      <c r="J77" s="9"/>
      <c r="K77" s="7"/>
      <c r="L77" s="8"/>
      <c r="M77" s="7" t="s">
        <v>234</v>
      </c>
    </row>
    <row r="78" customFormat="false" ht="15" hidden="false" customHeight="false" outlineLevel="0" collapsed="false">
      <c r="A78" s="7" t="s">
        <v>235</v>
      </c>
      <c r="B78" s="7"/>
      <c r="C78" s="7"/>
      <c r="D78" s="7"/>
      <c r="E78" s="8" t="s">
        <v>45</v>
      </c>
      <c r="F78" s="8" t="s">
        <v>46</v>
      </c>
      <c r="G78" s="8" t="s">
        <v>75</v>
      </c>
      <c r="H78" s="8"/>
      <c r="I78" s="8" t="s">
        <v>32</v>
      </c>
      <c r="J78" s="9"/>
      <c r="K78" s="7"/>
      <c r="L78" s="8"/>
      <c r="M78" s="7" t="s">
        <v>236</v>
      </c>
    </row>
    <row r="79" customFormat="false" ht="15" hidden="false" customHeight="false" outlineLevel="0" collapsed="false">
      <c r="A79" s="7" t="s">
        <v>237</v>
      </c>
      <c r="B79" s="7"/>
      <c r="C79" s="7"/>
      <c r="D79" s="7"/>
      <c r="E79" s="8" t="s">
        <v>45</v>
      </c>
      <c r="F79" s="8" t="s">
        <v>46</v>
      </c>
      <c r="G79" s="8" t="s">
        <v>75</v>
      </c>
      <c r="H79" s="8"/>
      <c r="I79" s="8" t="s">
        <v>32</v>
      </c>
      <c r="J79" s="9"/>
      <c r="K79" s="7"/>
      <c r="L79" s="8"/>
      <c r="M79" s="7" t="s">
        <v>238</v>
      </c>
    </row>
    <row r="80" customFormat="false" ht="15" hidden="false" customHeight="false" outlineLevel="0" collapsed="false">
      <c r="A80" s="7" t="s">
        <v>239</v>
      </c>
      <c r="B80" s="7"/>
      <c r="C80" s="7"/>
      <c r="D80" s="7"/>
      <c r="E80" s="8" t="s">
        <v>45</v>
      </c>
      <c r="F80" s="8" t="s">
        <v>46</v>
      </c>
      <c r="G80" s="8" t="s">
        <v>75</v>
      </c>
      <c r="H80" s="8"/>
      <c r="I80" s="8" t="s">
        <v>32</v>
      </c>
      <c r="J80" s="9"/>
      <c r="K80" s="7"/>
      <c r="L80" s="8"/>
      <c r="M80" s="7" t="s">
        <v>240</v>
      </c>
    </row>
    <row r="81" customFormat="false" ht="23.85" hidden="false" customHeight="false" outlineLevel="0" collapsed="false">
      <c r="A81" s="7" t="s">
        <v>241</v>
      </c>
      <c r="B81" s="7"/>
      <c r="C81" s="7"/>
      <c r="D81" s="7"/>
      <c r="E81" s="8" t="s">
        <v>48</v>
      </c>
      <c r="F81" s="8" t="s">
        <v>49</v>
      </c>
      <c r="G81" s="8" t="s">
        <v>75</v>
      </c>
      <c r="H81" s="8"/>
      <c r="I81" s="8" t="s">
        <v>32</v>
      </c>
      <c r="J81" s="9"/>
      <c r="K81" s="7"/>
      <c r="L81" s="8"/>
      <c r="M81" s="7" t="s">
        <v>242</v>
      </c>
    </row>
    <row r="82" customFormat="false" ht="23.85" hidden="false" customHeight="false" outlineLevel="0" collapsed="false">
      <c r="A82" s="7" t="s">
        <v>243</v>
      </c>
      <c r="B82" s="7"/>
      <c r="C82" s="7"/>
      <c r="D82" s="7"/>
      <c r="E82" s="8" t="s">
        <v>48</v>
      </c>
      <c r="F82" s="8" t="s">
        <v>49</v>
      </c>
      <c r="G82" s="8" t="s">
        <v>75</v>
      </c>
      <c r="H82" s="8"/>
      <c r="I82" s="8" t="s">
        <v>32</v>
      </c>
      <c r="J82" s="9"/>
      <c r="K82" s="7"/>
      <c r="L82" s="8"/>
      <c r="M82" s="7" t="s">
        <v>244</v>
      </c>
    </row>
    <row r="83" customFormat="false" ht="23.85" hidden="false" customHeight="false" outlineLevel="0" collapsed="false">
      <c r="A83" s="7" t="s">
        <v>245</v>
      </c>
      <c r="B83" s="7"/>
      <c r="C83" s="7"/>
      <c r="D83" s="7"/>
      <c r="E83" s="8" t="s">
        <v>48</v>
      </c>
      <c r="F83" s="8" t="s">
        <v>49</v>
      </c>
      <c r="G83" s="8" t="s">
        <v>75</v>
      </c>
      <c r="H83" s="8"/>
      <c r="I83" s="8" t="s">
        <v>32</v>
      </c>
      <c r="J83" s="9"/>
      <c r="K83" s="7"/>
      <c r="L83" s="8"/>
      <c r="M83" s="7" t="s">
        <v>246</v>
      </c>
    </row>
    <row r="84" customFormat="false" ht="23.85" hidden="false" customHeight="false" outlineLevel="0" collapsed="false">
      <c r="A84" s="7" t="s">
        <v>247</v>
      </c>
      <c r="B84" s="7"/>
      <c r="C84" s="7"/>
      <c r="D84" s="7"/>
      <c r="E84" s="8" t="s">
        <v>48</v>
      </c>
      <c r="F84" s="8" t="s">
        <v>49</v>
      </c>
      <c r="G84" s="8" t="s">
        <v>75</v>
      </c>
      <c r="H84" s="8"/>
      <c r="I84" s="8" t="s">
        <v>32</v>
      </c>
      <c r="J84" s="9"/>
      <c r="K84" s="11" t="s">
        <v>248</v>
      </c>
      <c r="L84" s="8"/>
      <c r="M84" s="7" t="s">
        <v>249</v>
      </c>
    </row>
    <row r="85" customFormat="false" ht="23.85" hidden="false" customHeight="false" outlineLevel="0" collapsed="false">
      <c r="A85" s="7" t="s">
        <v>250</v>
      </c>
      <c r="B85" s="7"/>
      <c r="C85" s="7"/>
      <c r="D85" s="7"/>
      <c r="E85" s="8" t="s">
        <v>48</v>
      </c>
      <c r="F85" s="8" t="s">
        <v>49</v>
      </c>
      <c r="G85" s="8" t="s">
        <v>75</v>
      </c>
      <c r="H85" s="8"/>
      <c r="I85" s="8" t="s">
        <v>32</v>
      </c>
      <c r="J85" s="9"/>
      <c r="K85" s="7"/>
      <c r="L85" s="8"/>
      <c r="M85" s="7" t="s">
        <v>251</v>
      </c>
    </row>
    <row r="86" customFormat="false" ht="23.85" hidden="false" customHeight="false" outlineLevel="0" collapsed="false">
      <c r="A86" s="7" t="s">
        <v>252</v>
      </c>
      <c r="B86" s="7"/>
      <c r="C86" s="7"/>
      <c r="D86" s="7"/>
      <c r="E86" s="8" t="s">
        <v>48</v>
      </c>
      <c r="F86" s="8" t="s">
        <v>49</v>
      </c>
      <c r="G86" s="8" t="s">
        <v>75</v>
      </c>
      <c r="H86" s="8"/>
      <c r="I86" s="8" t="s">
        <v>32</v>
      </c>
      <c r="J86" s="9"/>
      <c r="K86" s="7"/>
      <c r="L86" s="8"/>
      <c r="M86" s="7" t="s">
        <v>253</v>
      </c>
    </row>
    <row r="87" customFormat="false" ht="23.85" hidden="false" customHeight="false" outlineLevel="0" collapsed="false">
      <c r="A87" s="7" t="s">
        <v>254</v>
      </c>
      <c r="B87" s="7"/>
      <c r="C87" s="7"/>
      <c r="D87" s="7"/>
      <c r="E87" s="8" t="s">
        <v>48</v>
      </c>
      <c r="F87" s="8" t="s">
        <v>49</v>
      </c>
      <c r="G87" s="8" t="s">
        <v>75</v>
      </c>
      <c r="H87" s="8"/>
      <c r="I87" s="8" t="s">
        <v>32</v>
      </c>
      <c r="J87" s="9"/>
      <c r="K87" s="7"/>
      <c r="L87" s="8"/>
      <c r="M87" s="7" t="s">
        <v>255</v>
      </c>
    </row>
    <row r="88" customFormat="false" ht="15" hidden="false" customHeight="false" outlineLevel="0" collapsed="false">
      <c r="A88" s="7" t="s">
        <v>256</v>
      </c>
      <c r="B88" s="7"/>
      <c r="C88" s="7"/>
      <c r="D88" s="7"/>
      <c r="E88" s="8" t="s">
        <v>51</v>
      </c>
      <c r="F88" s="8" t="s">
        <v>52</v>
      </c>
      <c r="G88" s="8" t="s">
        <v>75</v>
      </c>
      <c r="H88" s="8"/>
      <c r="I88" s="8" t="s">
        <v>32</v>
      </c>
      <c r="J88" s="9"/>
      <c r="K88" s="11" t="s">
        <v>257</v>
      </c>
      <c r="L88" s="8"/>
      <c r="M88" s="7" t="s">
        <v>258</v>
      </c>
    </row>
    <row r="89" customFormat="false" ht="15" hidden="false" customHeight="false" outlineLevel="0" collapsed="false">
      <c r="A89" s="7" t="s">
        <v>259</v>
      </c>
      <c r="B89" s="7"/>
      <c r="C89" s="7"/>
      <c r="D89" s="7"/>
      <c r="E89" s="8" t="s">
        <v>51</v>
      </c>
      <c r="F89" s="8" t="s">
        <v>52</v>
      </c>
      <c r="G89" s="8" t="s">
        <v>75</v>
      </c>
      <c r="H89" s="8"/>
      <c r="I89" s="8" t="s">
        <v>32</v>
      </c>
      <c r="J89" s="9"/>
      <c r="K89" s="11" t="s">
        <v>260</v>
      </c>
      <c r="L89" s="8"/>
      <c r="M89" s="7" t="s">
        <v>261</v>
      </c>
    </row>
    <row r="90" customFormat="false" ht="15" hidden="false" customHeight="false" outlineLevel="0" collapsed="false">
      <c r="A90" s="7" t="s">
        <v>262</v>
      </c>
      <c r="B90" s="7"/>
      <c r="C90" s="7"/>
      <c r="D90" s="7"/>
      <c r="E90" s="8" t="s">
        <v>54</v>
      </c>
      <c r="F90" s="8" t="s">
        <v>54</v>
      </c>
      <c r="G90" s="8" t="s">
        <v>75</v>
      </c>
      <c r="H90" s="8"/>
      <c r="I90" s="8" t="s">
        <v>32</v>
      </c>
      <c r="J90" s="9"/>
      <c r="K90" s="11" t="s">
        <v>263</v>
      </c>
      <c r="L90" s="8"/>
      <c r="M90" s="7" t="s">
        <v>264</v>
      </c>
    </row>
    <row r="91" customFormat="false" ht="15" hidden="false" customHeight="false" outlineLevel="0" collapsed="false">
      <c r="A91" s="7" t="s">
        <v>265</v>
      </c>
      <c r="B91" s="7"/>
      <c r="C91" s="7"/>
      <c r="D91" s="7"/>
      <c r="E91" s="8" t="s">
        <v>54</v>
      </c>
      <c r="F91" s="8" t="s">
        <v>54</v>
      </c>
      <c r="G91" s="8" t="s">
        <v>75</v>
      </c>
      <c r="H91" s="8"/>
      <c r="I91" s="8" t="s">
        <v>32</v>
      </c>
      <c r="J91" s="9"/>
      <c r="K91" s="11" t="s">
        <v>266</v>
      </c>
      <c r="L91" s="8"/>
      <c r="M91" s="7" t="s">
        <v>267</v>
      </c>
    </row>
    <row r="92" customFormat="false" ht="23.85" hidden="false" customHeight="false" outlineLevel="0" collapsed="false">
      <c r="A92" s="7" t="s">
        <v>268</v>
      </c>
      <c r="B92" s="7"/>
      <c r="C92" s="7"/>
      <c r="D92" s="7"/>
      <c r="E92" s="8" t="s">
        <v>56</v>
      </c>
      <c r="F92" s="8" t="s">
        <v>57</v>
      </c>
      <c r="G92" s="8" t="s">
        <v>75</v>
      </c>
      <c r="H92" s="8"/>
      <c r="I92" s="8" t="s">
        <v>32</v>
      </c>
      <c r="J92" s="9"/>
      <c r="K92" s="11" t="s">
        <v>248</v>
      </c>
      <c r="L92" s="8"/>
      <c r="M92" s="7" t="s">
        <v>269</v>
      </c>
    </row>
    <row r="93" customFormat="false" ht="23.85" hidden="false" customHeight="false" outlineLevel="0" collapsed="false">
      <c r="A93" s="7" t="s">
        <v>270</v>
      </c>
      <c r="B93" s="7"/>
      <c r="C93" s="7"/>
      <c r="D93" s="7"/>
      <c r="E93" s="8" t="s">
        <v>56</v>
      </c>
      <c r="F93" s="8" t="s">
        <v>57</v>
      </c>
      <c r="G93" s="8" t="s">
        <v>75</v>
      </c>
      <c r="H93" s="8"/>
      <c r="I93" s="8" t="s">
        <v>32</v>
      </c>
      <c r="J93" s="9"/>
      <c r="K93" s="11" t="s">
        <v>248</v>
      </c>
      <c r="L93" s="8"/>
      <c r="M93" s="7" t="s">
        <v>271</v>
      </c>
    </row>
    <row r="94" customFormat="false" ht="23.85" hidden="false" customHeight="false" outlineLevel="0" collapsed="false">
      <c r="A94" s="7" t="s">
        <v>156</v>
      </c>
      <c r="B94" s="7"/>
      <c r="C94" s="7"/>
      <c r="D94" s="7"/>
      <c r="E94" s="8" t="s">
        <v>56</v>
      </c>
      <c r="F94" s="8" t="s">
        <v>57</v>
      </c>
      <c r="G94" s="8" t="s">
        <v>75</v>
      </c>
      <c r="H94" s="8"/>
      <c r="I94" s="8" t="s">
        <v>32</v>
      </c>
      <c r="J94" s="9"/>
      <c r="K94" s="11" t="s">
        <v>272</v>
      </c>
      <c r="L94" s="8"/>
      <c r="M94" s="7" t="s">
        <v>273</v>
      </c>
    </row>
    <row r="95" customFormat="false" ht="23.85" hidden="false" customHeight="false" outlineLevel="0" collapsed="false">
      <c r="A95" s="7" t="s">
        <v>274</v>
      </c>
      <c r="B95" s="7"/>
      <c r="C95" s="7"/>
      <c r="D95" s="7"/>
      <c r="E95" s="8" t="s">
        <v>59</v>
      </c>
      <c r="F95" s="8" t="s">
        <v>60</v>
      </c>
      <c r="G95" s="8" t="s">
        <v>75</v>
      </c>
      <c r="H95" s="8"/>
      <c r="I95" s="8" t="s">
        <v>32</v>
      </c>
      <c r="J95" s="9"/>
      <c r="K95" s="7"/>
      <c r="L95" s="8"/>
      <c r="M95" s="7" t="s">
        <v>275</v>
      </c>
    </row>
    <row r="96" customFormat="false" ht="23.85" hidden="false" customHeight="false" outlineLevel="0" collapsed="false">
      <c r="A96" s="7" t="s">
        <v>276</v>
      </c>
      <c r="B96" s="7"/>
      <c r="C96" s="7"/>
      <c r="D96" s="7"/>
      <c r="E96" s="8" t="s">
        <v>62</v>
      </c>
      <c r="F96" s="8" t="s">
        <v>63</v>
      </c>
      <c r="G96" s="8" t="s">
        <v>75</v>
      </c>
      <c r="H96" s="8"/>
      <c r="I96" s="8" t="s">
        <v>32</v>
      </c>
      <c r="J96" s="9"/>
      <c r="K96" s="7"/>
      <c r="L96" s="8"/>
      <c r="M96" s="7" t="s">
        <v>277</v>
      </c>
    </row>
    <row r="97" customFormat="false" ht="23.85" hidden="false" customHeight="false" outlineLevel="0" collapsed="false">
      <c r="A97" s="7" t="s">
        <v>278</v>
      </c>
      <c r="B97" s="7"/>
      <c r="C97" s="7"/>
      <c r="D97" s="7"/>
      <c r="E97" s="8" t="s">
        <v>62</v>
      </c>
      <c r="F97" s="8" t="s">
        <v>63</v>
      </c>
      <c r="G97" s="8" t="s">
        <v>75</v>
      </c>
      <c r="H97" s="8"/>
      <c r="I97" s="8" t="s">
        <v>32</v>
      </c>
      <c r="J97" s="9"/>
      <c r="K97" s="7"/>
      <c r="L97" s="8"/>
      <c r="M97" s="7" t="s">
        <v>279</v>
      </c>
    </row>
    <row r="98" customFormat="false" ht="23.85" hidden="false" customHeight="false" outlineLevel="0" collapsed="false">
      <c r="A98" s="7" t="s">
        <v>280</v>
      </c>
      <c r="B98" s="7"/>
      <c r="C98" s="7"/>
      <c r="D98" s="7"/>
      <c r="E98" s="8" t="s">
        <v>62</v>
      </c>
      <c r="F98" s="8" t="s">
        <v>63</v>
      </c>
      <c r="G98" s="8" t="s">
        <v>75</v>
      </c>
      <c r="H98" s="8"/>
      <c r="I98" s="8" t="s">
        <v>32</v>
      </c>
      <c r="J98" s="9"/>
      <c r="K98" s="7"/>
      <c r="L98" s="8"/>
      <c r="M98" s="7" t="s">
        <v>281</v>
      </c>
    </row>
    <row r="99" customFormat="false" ht="23.85" hidden="false" customHeight="false" outlineLevel="0" collapsed="false">
      <c r="A99" s="7" t="s">
        <v>282</v>
      </c>
      <c r="B99" s="7"/>
      <c r="C99" s="7"/>
      <c r="D99" s="7"/>
      <c r="E99" s="8" t="s">
        <v>62</v>
      </c>
      <c r="F99" s="8" t="s">
        <v>63</v>
      </c>
      <c r="G99" s="8" t="s">
        <v>75</v>
      </c>
      <c r="H99" s="8"/>
      <c r="I99" s="8" t="s">
        <v>32</v>
      </c>
      <c r="J99" s="9"/>
      <c r="K99" s="7"/>
      <c r="L99" s="8"/>
      <c r="M99" s="7" t="s">
        <v>283</v>
      </c>
    </row>
    <row r="100" customFormat="false" ht="23.85" hidden="false" customHeight="false" outlineLevel="0" collapsed="false">
      <c r="A100" s="7" t="s">
        <v>284</v>
      </c>
      <c r="B100" s="7"/>
      <c r="C100" s="7"/>
      <c r="D100" s="7"/>
      <c r="E100" s="8" t="s">
        <v>62</v>
      </c>
      <c r="F100" s="8" t="s">
        <v>63</v>
      </c>
      <c r="G100" s="8" t="s">
        <v>75</v>
      </c>
      <c r="H100" s="8"/>
      <c r="I100" s="8" t="s">
        <v>32</v>
      </c>
      <c r="J100" s="9"/>
      <c r="K100" s="7"/>
      <c r="L100" s="8"/>
      <c r="M100" s="7" t="s">
        <v>285</v>
      </c>
    </row>
    <row r="101" customFormat="false" ht="23.85" hidden="false" customHeight="false" outlineLevel="0" collapsed="false">
      <c r="A101" s="7" t="s">
        <v>286</v>
      </c>
      <c r="B101" s="7"/>
      <c r="C101" s="7"/>
      <c r="D101" s="7"/>
      <c r="E101" s="8" t="s">
        <v>62</v>
      </c>
      <c r="F101" s="8" t="s">
        <v>63</v>
      </c>
      <c r="G101" s="8" t="s">
        <v>75</v>
      </c>
      <c r="H101" s="8"/>
      <c r="I101" s="8" t="s">
        <v>32</v>
      </c>
      <c r="J101" s="9"/>
      <c r="K101" s="7"/>
      <c r="L101" s="8"/>
      <c r="M101" s="7" t="s">
        <v>287</v>
      </c>
    </row>
    <row r="102" customFormat="false" ht="23.85" hidden="false" customHeight="false" outlineLevel="0" collapsed="false">
      <c r="A102" s="7" t="s">
        <v>288</v>
      </c>
      <c r="B102" s="7" t="s">
        <v>289</v>
      </c>
      <c r="C102" s="7" t="s">
        <v>290</v>
      </c>
      <c r="D102" s="7" t="s">
        <v>291</v>
      </c>
      <c r="E102" s="8"/>
      <c r="F102" s="8"/>
      <c r="G102" s="8" t="s">
        <v>292</v>
      </c>
      <c r="H102" s="8"/>
      <c r="I102" s="8" t="s">
        <v>32</v>
      </c>
      <c r="J102" s="9"/>
      <c r="K102" s="7"/>
      <c r="L102" s="8"/>
      <c r="M102" s="7" t="s">
        <v>293</v>
      </c>
    </row>
    <row r="103" customFormat="false" ht="15" hidden="false" customHeight="false" outlineLevel="0" collapsed="false">
      <c r="A103" s="7" t="s">
        <v>294</v>
      </c>
      <c r="B103" s="7" t="s">
        <v>295</v>
      </c>
      <c r="C103" s="7" t="s">
        <v>296</v>
      </c>
      <c r="D103" s="7"/>
      <c r="E103" s="8"/>
      <c r="F103" s="8"/>
      <c r="G103" s="8" t="s">
        <v>297</v>
      </c>
      <c r="H103" s="8"/>
      <c r="I103" s="8" t="s">
        <v>32</v>
      </c>
      <c r="J103" s="9"/>
      <c r="K103" s="7"/>
      <c r="L103" s="8"/>
      <c r="M103" s="7" t="s">
        <v>298</v>
      </c>
    </row>
    <row r="104" customFormat="false" ht="15" hidden="false" customHeight="false" outlineLevel="0" collapsed="false">
      <c r="A104" s="7" t="s">
        <v>299</v>
      </c>
      <c r="B104" s="7" t="s">
        <v>295</v>
      </c>
      <c r="C104" s="7" t="s">
        <v>296</v>
      </c>
      <c r="D104" s="7"/>
      <c r="E104" s="8"/>
      <c r="F104" s="8"/>
      <c r="G104" s="8" t="s">
        <v>297</v>
      </c>
      <c r="H104" s="8"/>
      <c r="I104" s="8" t="s">
        <v>32</v>
      </c>
      <c r="J104" s="9"/>
      <c r="K104" s="7"/>
      <c r="L104" s="8"/>
      <c r="M104" s="7" t="s">
        <v>300</v>
      </c>
    </row>
    <row r="105" customFormat="false" ht="23.85" hidden="false" customHeight="false" outlineLevel="0" collapsed="false">
      <c r="A105" s="7" t="s">
        <v>301</v>
      </c>
      <c r="B105" s="7" t="s">
        <v>302</v>
      </c>
      <c r="C105" s="7" t="s">
        <v>303</v>
      </c>
      <c r="D105" s="7" t="s">
        <v>304</v>
      </c>
      <c r="E105" s="8"/>
      <c r="F105" s="8"/>
      <c r="G105" s="8" t="s">
        <v>292</v>
      </c>
      <c r="H105" s="8"/>
      <c r="I105" s="8" t="s">
        <v>32</v>
      </c>
      <c r="J105" s="9"/>
      <c r="K105" s="7"/>
      <c r="L105" s="8"/>
      <c r="M105" s="7" t="s">
        <v>305</v>
      </c>
    </row>
    <row r="106" customFormat="false" ht="23.85" hidden="false" customHeight="false" outlineLevel="0" collapsed="false">
      <c r="A106" s="7" t="s">
        <v>306</v>
      </c>
      <c r="B106" s="7" t="s">
        <v>289</v>
      </c>
      <c r="C106" s="7" t="s">
        <v>307</v>
      </c>
      <c r="D106" s="7" t="s">
        <v>291</v>
      </c>
      <c r="E106" s="8"/>
      <c r="F106" s="8"/>
      <c r="G106" s="8" t="s">
        <v>292</v>
      </c>
      <c r="H106" s="8"/>
      <c r="I106" s="8" t="s">
        <v>32</v>
      </c>
      <c r="J106" s="9"/>
      <c r="K106" s="7"/>
      <c r="L106" s="8"/>
      <c r="M106" s="7" t="s">
        <v>308</v>
      </c>
    </row>
    <row r="107" customFormat="false" ht="15" hidden="false" customHeight="false" outlineLevel="0" collapsed="false">
      <c r="A107" s="7" t="s">
        <v>309</v>
      </c>
      <c r="B107" s="7" t="s">
        <v>310</v>
      </c>
      <c r="C107" s="7" t="s">
        <v>307</v>
      </c>
      <c r="D107" s="7"/>
      <c r="E107" s="8"/>
      <c r="F107" s="8"/>
      <c r="G107" s="8" t="s">
        <v>297</v>
      </c>
      <c r="H107" s="8"/>
      <c r="I107" s="8" t="s">
        <v>32</v>
      </c>
      <c r="J107" s="9"/>
      <c r="K107" s="7"/>
      <c r="L107" s="8"/>
      <c r="M107" s="7" t="s">
        <v>311</v>
      </c>
    </row>
    <row r="108" customFormat="false" ht="15" hidden="false" customHeight="false" outlineLevel="0" collapsed="false">
      <c r="A108" s="7" t="s">
        <v>312</v>
      </c>
      <c r="B108" s="7" t="s">
        <v>310</v>
      </c>
      <c r="C108" s="7" t="s">
        <v>307</v>
      </c>
      <c r="D108" s="7"/>
      <c r="E108" s="8"/>
      <c r="F108" s="8"/>
      <c r="G108" s="8" t="s">
        <v>297</v>
      </c>
      <c r="H108" s="8"/>
      <c r="I108" s="8" t="s">
        <v>32</v>
      </c>
      <c r="J108" s="9"/>
      <c r="K108" s="7"/>
      <c r="L108" s="8"/>
      <c r="M108" s="7" t="s">
        <v>313</v>
      </c>
    </row>
    <row r="109" customFormat="false" ht="15" hidden="false" customHeight="false" outlineLevel="0" collapsed="false">
      <c r="A109" s="7" t="s">
        <v>314</v>
      </c>
      <c r="B109" s="7" t="s">
        <v>310</v>
      </c>
      <c r="C109" s="7" t="s">
        <v>307</v>
      </c>
      <c r="D109" s="7"/>
      <c r="E109" s="8"/>
      <c r="F109" s="8"/>
      <c r="G109" s="8" t="s">
        <v>297</v>
      </c>
      <c r="H109" s="8"/>
      <c r="I109" s="8" t="s">
        <v>32</v>
      </c>
      <c r="J109" s="9"/>
      <c r="K109" s="7"/>
      <c r="L109" s="8"/>
      <c r="M109" s="7" t="s">
        <v>315</v>
      </c>
    </row>
    <row r="110" customFormat="false" ht="15" hidden="false" customHeight="false" outlineLevel="0" collapsed="false">
      <c r="A110" s="7" t="s">
        <v>316</v>
      </c>
      <c r="B110" s="7" t="s">
        <v>310</v>
      </c>
      <c r="C110" s="7" t="s">
        <v>307</v>
      </c>
      <c r="D110" s="7"/>
      <c r="E110" s="8"/>
      <c r="F110" s="8"/>
      <c r="G110" s="8" t="s">
        <v>297</v>
      </c>
      <c r="H110" s="8"/>
      <c r="I110" s="8" t="s">
        <v>32</v>
      </c>
      <c r="J110" s="9"/>
      <c r="K110" s="7"/>
      <c r="L110" s="8"/>
      <c r="M110" s="7" t="s">
        <v>317</v>
      </c>
    </row>
    <row r="111" customFormat="false" ht="15" hidden="false" customHeight="false" outlineLevel="0" collapsed="false">
      <c r="A111" s="7" t="s">
        <v>318</v>
      </c>
      <c r="B111" s="7" t="s">
        <v>310</v>
      </c>
      <c r="C111" s="7" t="s">
        <v>307</v>
      </c>
      <c r="D111" s="7"/>
      <c r="E111" s="8"/>
      <c r="F111" s="8"/>
      <c r="G111" s="8" t="s">
        <v>297</v>
      </c>
      <c r="H111" s="8"/>
      <c r="I111" s="8" t="s">
        <v>32</v>
      </c>
      <c r="J111" s="9"/>
      <c r="K111" s="7"/>
      <c r="L111" s="8"/>
      <c r="M111" s="7" t="s">
        <v>319</v>
      </c>
    </row>
    <row r="112" customFormat="false" ht="15" hidden="false" customHeight="false" outlineLevel="0" collapsed="false">
      <c r="A112" s="7" t="s">
        <v>320</v>
      </c>
      <c r="B112" s="7" t="s">
        <v>310</v>
      </c>
      <c r="C112" s="7" t="s">
        <v>307</v>
      </c>
      <c r="D112" s="7"/>
      <c r="E112" s="8"/>
      <c r="F112" s="8"/>
      <c r="G112" s="8" t="s">
        <v>297</v>
      </c>
      <c r="H112" s="8"/>
      <c r="I112" s="8" t="s">
        <v>32</v>
      </c>
      <c r="J112" s="9"/>
      <c r="K112" s="7"/>
      <c r="L112" s="8"/>
      <c r="M112" s="7" t="s">
        <v>321</v>
      </c>
    </row>
    <row r="113" customFormat="false" ht="15" hidden="false" customHeight="false" outlineLevel="0" collapsed="false">
      <c r="A113" s="7" t="s">
        <v>322</v>
      </c>
      <c r="B113" s="7" t="s">
        <v>310</v>
      </c>
      <c r="C113" s="7" t="s">
        <v>307</v>
      </c>
      <c r="D113" s="7"/>
      <c r="E113" s="8"/>
      <c r="F113" s="8"/>
      <c r="G113" s="8" t="s">
        <v>297</v>
      </c>
      <c r="H113" s="8"/>
      <c r="I113" s="8" t="s">
        <v>32</v>
      </c>
      <c r="J113" s="9"/>
      <c r="K113" s="7"/>
      <c r="L113" s="8"/>
      <c r="M113" s="7" t="s">
        <v>323</v>
      </c>
    </row>
    <row r="114" customFormat="false" ht="23.85" hidden="false" customHeight="false" outlineLevel="0" collapsed="false">
      <c r="A114" s="7" t="s">
        <v>324</v>
      </c>
      <c r="B114" s="7" t="s">
        <v>325</v>
      </c>
      <c r="C114" s="7" t="s">
        <v>326</v>
      </c>
      <c r="D114" s="7" t="s">
        <v>327</v>
      </c>
      <c r="E114" s="8"/>
      <c r="F114" s="8"/>
      <c r="G114" s="8" t="s">
        <v>292</v>
      </c>
      <c r="H114" s="8"/>
      <c r="I114" s="8" t="s">
        <v>32</v>
      </c>
      <c r="J114" s="9"/>
      <c r="K114" s="7"/>
      <c r="L114" s="8"/>
      <c r="M114" s="7" t="s">
        <v>328</v>
      </c>
    </row>
    <row r="115" customFormat="false" ht="23.85" hidden="false" customHeight="false" outlineLevel="0" collapsed="false">
      <c r="A115" s="7" t="s">
        <v>329</v>
      </c>
      <c r="B115" s="7" t="s">
        <v>330</v>
      </c>
      <c r="C115" s="7" t="s">
        <v>331</v>
      </c>
      <c r="D115" s="7" t="s">
        <v>332</v>
      </c>
      <c r="E115" s="8"/>
      <c r="F115" s="8"/>
      <c r="G115" s="8" t="s">
        <v>292</v>
      </c>
      <c r="H115" s="8"/>
      <c r="I115" s="8" t="s">
        <v>32</v>
      </c>
      <c r="J115" s="9"/>
      <c r="K115" s="7"/>
      <c r="L115" s="8"/>
      <c r="M115" s="7" t="s">
        <v>333</v>
      </c>
    </row>
    <row r="116" customFormat="false" ht="15" hidden="false" customHeight="false" outlineLevel="0" collapsed="false">
      <c r="A116" s="7" t="s">
        <v>334</v>
      </c>
      <c r="B116" s="7" t="s">
        <v>295</v>
      </c>
      <c r="C116" s="7" t="s">
        <v>331</v>
      </c>
      <c r="D116" s="7"/>
      <c r="E116" s="8"/>
      <c r="F116" s="8"/>
      <c r="G116" s="8" t="s">
        <v>297</v>
      </c>
      <c r="H116" s="8"/>
      <c r="I116" s="8" t="s">
        <v>32</v>
      </c>
      <c r="J116" s="9"/>
      <c r="K116" s="7"/>
      <c r="L116" s="8"/>
      <c r="M116" s="7" t="s">
        <v>335</v>
      </c>
    </row>
    <row r="117" customFormat="false" ht="23.85" hidden="false" customHeight="false" outlineLevel="0" collapsed="false">
      <c r="A117" s="7" t="s">
        <v>336</v>
      </c>
      <c r="B117" s="7" t="s">
        <v>337</v>
      </c>
      <c r="C117" s="7" t="s">
        <v>338</v>
      </c>
      <c r="D117" s="7" t="s">
        <v>339</v>
      </c>
      <c r="E117" s="8"/>
      <c r="F117" s="8"/>
      <c r="G117" s="8" t="s">
        <v>292</v>
      </c>
      <c r="H117" s="8"/>
      <c r="I117" s="8" t="s">
        <v>32</v>
      </c>
      <c r="J117" s="9"/>
      <c r="K117" s="7"/>
      <c r="L117" s="8"/>
      <c r="M117" s="7" t="s">
        <v>340</v>
      </c>
    </row>
    <row r="118" customFormat="false" ht="23.85" hidden="false" customHeight="false" outlineLevel="0" collapsed="false">
      <c r="A118" s="7" t="s">
        <v>341</v>
      </c>
      <c r="B118" s="7" t="s">
        <v>342</v>
      </c>
      <c r="C118" s="7" t="s">
        <v>343</v>
      </c>
      <c r="D118" s="7" t="s">
        <v>344</v>
      </c>
      <c r="E118" s="8"/>
      <c r="F118" s="8"/>
      <c r="G118" s="8" t="s">
        <v>292</v>
      </c>
      <c r="H118" s="8"/>
      <c r="I118" s="8" t="s">
        <v>32</v>
      </c>
      <c r="J118" s="9"/>
      <c r="K118" s="7"/>
      <c r="L118" s="8"/>
      <c r="M118" s="7" t="s">
        <v>345</v>
      </c>
    </row>
    <row r="119" customFormat="false" ht="23.85" hidden="false" customHeight="false" outlineLevel="0" collapsed="false">
      <c r="A119" s="7" t="s">
        <v>346</v>
      </c>
      <c r="B119" s="7" t="s">
        <v>347</v>
      </c>
      <c r="C119" s="7" t="s">
        <v>331</v>
      </c>
      <c r="D119" s="7" t="s">
        <v>339</v>
      </c>
      <c r="E119" s="8"/>
      <c r="F119" s="8"/>
      <c r="G119" s="8" t="s">
        <v>292</v>
      </c>
      <c r="H119" s="8"/>
      <c r="I119" s="8" t="s">
        <v>32</v>
      </c>
      <c r="J119" s="9"/>
      <c r="K119" s="7"/>
      <c r="L119" s="8"/>
      <c r="M119" s="7" t="s">
        <v>348</v>
      </c>
    </row>
    <row r="120" customFormat="false" ht="23.85" hidden="false" customHeight="false" outlineLevel="0" collapsed="false">
      <c r="A120" s="7" t="s">
        <v>349</v>
      </c>
      <c r="B120" s="7" t="s">
        <v>350</v>
      </c>
      <c r="C120" s="7" t="s">
        <v>310</v>
      </c>
      <c r="D120" s="7" t="s">
        <v>339</v>
      </c>
      <c r="E120" s="8"/>
      <c r="F120" s="8"/>
      <c r="G120" s="8" t="s">
        <v>292</v>
      </c>
      <c r="H120" s="8"/>
      <c r="I120" s="8" t="s">
        <v>32</v>
      </c>
      <c r="J120" s="9"/>
      <c r="K120" s="7"/>
      <c r="L120" s="8"/>
      <c r="M120" s="7" t="s">
        <v>351</v>
      </c>
    </row>
    <row r="121" customFormat="false" ht="15" hidden="false" customHeight="false" outlineLevel="0" collapsed="false">
      <c r="A121" s="7" t="s">
        <v>352</v>
      </c>
      <c r="B121" s="7" t="s">
        <v>295</v>
      </c>
      <c r="C121" s="7" t="s">
        <v>353</v>
      </c>
      <c r="D121" s="7"/>
      <c r="E121" s="8"/>
      <c r="F121" s="8"/>
      <c r="G121" s="8" t="s">
        <v>297</v>
      </c>
      <c r="H121" s="8"/>
      <c r="I121" s="8" t="s">
        <v>32</v>
      </c>
      <c r="J121" s="9"/>
      <c r="K121" s="7"/>
      <c r="L121" s="8"/>
      <c r="M121" s="7" t="s">
        <v>354</v>
      </c>
    </row>
    <row r="122" customFormat="false" ht="15" hidden="false" customHeight="false" outlineLevel="0" collapsed="false">
      <c r="A122" s="7" t="s">
        <v>355</v>
      </c>
      <c r="B122" s="7" t="s">
        <v>295</v>
      </c>
      <c r="C122" s="7" t="s">
        <v>353</v>
      </c>
      <c r="D122" s="7"/>
      <c r="E122" s="8"/>
      <c r="F122" s="8"/>
      <c r="G122" s="8" t="s">
        <v>297</v>
      </c>
      <c r="H122" s="8"/>
      <c r="I122" s="8" t="s">
        <v>32</v>
      </c>
      <c r="J122" s="9"/>
      <c r="K122" s="7"/>
      <c r="L122" s="8"/>
      <c r="M122" s="7" t="s">
        <v>356</v>
      </c>
    </row>
    <row r="123" customFormat="false" ht="15" hidden="false" customHeight="false" outlineLevel="0" collapsed="false">
      <c r="A123" s="7" t="s">
        <v>357</v>
      </c>
      <c r="B123" s="7" t="s">
        <v>358</v>
      </c>
      <c r="C123" s="7" t="s">
        <v>359</v>
      </c>
      <c r="D123" s="7"/>
      <c r="E123" s="8"/>
      <c r="F123" s="8"/>
      <c r="G123" s="8" t="s">
        <v>297</v>
      </c>
      <c r="H123" s="8"/>
      <c r="I123" s="8" t="s">
        <v>32</v>
      </c>
      <c r="J123" s="9"/>
      <c r="K123" s="7"/>
      <c r="L123" s="8"/>
      <c r="M123" s="7" t="s">
        <v>360</v>
      </c>
    </row>
    <row r="124" customFormat="false" ht="15" hidden="false" customHeight="false" outlineLevel="0" collapsed="false">
      <c r="A124" s="7" t="s">
        <v>361</v>
      </c>
      <c r="B124" s="7" t="s">
        <v>362</v>
      </c>
      <c r="C124" s="7" t="s">
        <v>359</v>
      </c>
      <c r="D124" s="7"/>
      <c r="E124" s="8"/>
      <c r="F124" s="8"/>
      <c r="G124" s="8" t="s">
        <v>297</v>
      </c>
      <c r="H124" s="8"/>
      <c r="I124" s="8" t="s">
        <v>32</v>
      </c>
      <c r="J124" s="9"/>
      <c r="K124" s="7"/>
      <c r="L124" s="8"/>
      <c r="M124" s="7" t="s">
        <v>363</v>
      </c>
    </row>
    <row r="125" customFormat="false" ht="15" hidden="false" customHeight="false" outlineLevel="0" collapsed="false">
      <c r="A125" s="7" t="s">
        <v>364</v>
      </c>
      <c r="B125" s="7" t="s">
        <v>365</v>
      </c>
      <c r="C125" s="7" t="s">
        <v>359</v>
      </c>
      <c r="D125" s="7"/>
      <c r="E125" s="8"/>
      <c r="F125" s="8"/>
      <c r="G125" s="8" t="s">
        <v>297</v>
      </c>
      <c r="H125" s="8"/>
      <c r="I125" s="8" t="s">
        <v>32</v>
      </c>
      <c r="J125" s="9"/>
      <c r="K125" s="7"/>
      <c r="L125" s="8"/>
      <c r="M125" s="7" t="s">
        <v>366</v>
      </c>
    </row>
    <row r="126" customFormat="false" ht="15" hidden="false" customHeight="false" outlineLevel="0" collapsed="false">
      <c r="A126" s="7" t="s">
        <v>367</v>
      </c>
      <c r="B126" s="7" t="s">
        <v>368</v>
      </c>
      <c r="C126" s="7" t="s">
        <v>359</v>
      </c>
      <c r="D126" s="7"/>
      <c r="E126" s="8"/>
      <c r="F126" s="8"/>
      <c r="G126" s="8" t="s">
        <v>297</v>
      </c>
      <c r="H126" s="8"/>
      <c r="I126" s="8" t="s">
        <v>32</v>
      </c>
      <c r="J126" s="9"/>
      <c r="K126" s="7"/>
      <c r="L126" s="8"/>
      <c r="M126" s="7" t="s">
        <v>369</v>
      </c>
    </row>
    <row r="127" customFormat="false" ht="23.85" hidden="false" customHeight="false" outlineLevel="0" collapsed="false">
      <c r="A127" s="7" t="s">
        <v>370</v>
      </c>
      <c r="B127" s="7" t="s">
        <v>371</v>
      </c>
      <c r="C127" s="7" t="s">
        <v>359</v>
      </c>
      <c r="D127" s="7" t="s">
        <v>372</v>
      </c>
      <c r="E127" s="8"/>
      <c r="F127" s="8"/>
      <c r="G127" s="8" t="s">
        <v>292</v>
      </c>
      <c r="H127" s="8"/>
      <c r="I127" s="8" t="s">
        <v>32</v>
      </c>
      <c r="J127" s="9"/>
      <c r="K127" s="11" t="s">
        <v>373</v>
      </c>
      <c r="L127" s="8"/>
      <c r="M127" s="7" t="s">
        <v>374</v>
      </c>
    </row>
    <row r="128" customFormat="false" ht="23.85" hidden="false" customHeight="false" outlineLevel="0" collapsed="false">
      <c r="A128" s="7" t="s">
        <v>375</v>
      </c>
      <c r="B128" s="7" t="s">
        <v>376</v>
      </c>
      <c r="C128" s="7" t="s">
        <v>359</v>
      </c>
      <c r="D128" s="7" t="s">
        <v>372</v>
      </c>
      <c r="E128" s="8"/>
      <c r="F128" s="8"/>
      <c r="G128" s="8" t="s">
        <v>292</v>
      </c>
      <c r="H128" s="8"/>
      <c r="I128" s="8" t="s">
        <v>32</v>
      </c>
      <c r="J128" s="9"/>
      <c r="K128" s="7"/>
      <c r="L128" s="8"/>
      <c r="M128" s="7" t="s">
        <v>377</v>
      </c>
    </row>
    <row r="129" customFormat="false" ht="15" hidden="false" customHeight="false" outlineLevel="0" collapsed="false">
      <c r="A129" s="7" t="s">
        <v>378</v>
      </c>
      <c r="B129" s="7" t="s">
        <v>295</v>
      </c>
      <c r="C129" s="7" t="s">
        <v>359</v>
      </c>
      <c r="D129" s="7"/>
      <c r="E129" s="8"/>
      <c r="F129" s="8"/>
      <c r="G129" s="8" t="s">
        <v>297</v>
      </c>
      <c r="H129" s="8"/>
      <c r="I129" s="8" t="s">
        <v>32</v>
      </c>
      <c r="J129" s="9"/>
      <c r="K129" s="7"/>
      <c r="L129" s="8"/>
      <c r="M129" s="7" t="s">
        <v>379</v>
      </c>
    </row>
    <row r="130" customFormat="false" ht="23.85" hidden="false" customHeight="false" outlineLevel="0" collapsed="false">
      <c r="A130" s="7" t="s">
        <v>380</v>
      </c>
      <c r="B130" s="7" t="s">
        <v>381</v>
      </c>
      <c r="C130" s="7" t="s">
        <v>359</v>
      </c>
      <c r="D130" s="7" t="s">
        <v>339</v>
      </c>
      <c r="E130" s="8"/>
      <c r="F130" s="8"/>
      <c r="G130" s="8" t="s">
        <v>292</v>
      </c>
      <c r="H130" s="8"/>
      <c r="I130" s="8" t="s">
        <v>32</v>
      </c>
      <c r="J130" s="9"/>
      <c r="K130" s="7"/>
      <c r="L130" s="8"/>
      <c r="M130" s="7" t="s">
        <v>382</v>
      </c>
    </row>
    <row r="131" customFormat="false" ht="23.85" hidden="false" customHeight="false" outlineLevel="0" collapsed="false">
      <c r="A131" s="7" t="s">
        <v>383</v>
      </c>
      <c r="B131" s="7" t="s">
        <v>384</v>
      </c>
      <c r="C131" s="7" t="s">
        <v>359</v>
      </c>
      <c r="D131" s="7" t="s">
        <v>339</v>
      </c>
      <c r="E131" s="8"/>
      <c r="F131" s="8"/>
      <c r="G131" s="8" t="s">
        <v>292</v>
      </c>
      <c r="H131" s="8"/>
      <c r="I131" s="8" t="s">
        <v>32</v>
      </c>
      <c r="J131" s="9"/>
      <c r="K131" s="7"/>
      <c r="L131" s="8"/>
      <c r="M131" s="7" t="s">
        <v>385</v>
      </c>
    </row>
    <row r="132" customFormat="false" ht="23.85" hidden="false" customHeight="false" outlineLevel="0" collapsed="false">
      <c r="A132" s="7" t="s">
        <v>386</v>
      </c>
      <c r="B132" s="7" t="s">
        <v>387</v>
      </c>
      <c r="C132" s="7" t="s">
        <v>359</v>
      </c>
      <c r="D132" s="7" t="s">
        <v>339</v>
      </c>
      <c r="E132" s="8"/>
      <c r="F132" s="8"/>
      <c r="G132" s="8" t="s">
        <v>292</v>
      </c>
      <c r="H132" s="8"/>
      <c r="I132" s="8" t="s">
        <v>32</v>
      </c>
      <c r="J132" s="9"/>
      <c r="K132" s="7"/>
      <c r="L132" s="8"/>
      <c r="M132" s="7" t="s">
        <v>388</v>
      </c>
    </row>
    <row r="133" customFormat="false" ht="15" hidden="false" customHeight="false" outlineLevel="0" collapsed="false">
      <c r="A133" s="7" t="s">
        <v>389</v>
      </c>
      <c r="B133" s="7" t="s">
        <v>295</v>
      </c>
      <c r="C133" s="7" t="s">
        <v>390</v>
      </c>
      <c r="D133" s="7"/>
      <c r="E133" s="8"/>
      <c r="F133" s="8"/>
      <c r="G133" s="8" t="s">
        <v>297</v>
      </c>
      <c r="H133" s="8"/>
      <c r="I133" s="8" t="s">
        <v>32</v>
      </c>
      <c r="J133" s="9"/>
      <c r="K133" s="7"/>
      <c r="L133" s="8"/>
      <c r="M133" s="7" t="s">
        <v>391</v>
      </c>
    </row>
    <row r="134" customFormat="false" ht="23.85" hidden="false" customHeight="false" outlineLevel="0" collapsed="false">
      <c r="A134" s="7" t="s">
        <v>392</v>
      </c>
      <c r="B134" s="7" t="s">
        <v>393</v>
      </c>
      <c r="C134" s="7" t="s">
        <v>394</v>
      </c>
      <c r="D134" s="7" t="s">
        <v>339</v>
      </c>
      <c r="E134" s="8"/>
      <c r="F134" s="8"/>
      <c r="G134" s="8" t="s">
        <v>292</v>
      </c>
      <c r="H134" s="8"/>
      <c r="I134" s="8" t="s">
        <v>32</v>
      </c>
      <c r="J134" s="9"/>
      <c r="K134" s="7"/>
      <c r="L134" s="8"/>
      <c r="M134" s="7" t="s">
        <v>395</v>
      </c>
    </row>
    <row r="135" customFormat="false" ht="23.85" hidden="false" customHeight="false" outlineLevel="0" collapsed="false">
      <c r="A135" s="7" t="s">
        <v>396</v>
      </c>
      <c r="B135" s="7" t="s">
        <v>397</v>
      </c>
      <c r="C135" s="7" t="s">
        <v>398</v>
      </c>
      <c r="D135" s="7" t="s">
        <v>399</v>
      </c>
      <c r="E135" s="8"/>
      <c r="F135" s="8"/>
      <c r="G135" s="8" t="s">
        <v>292</v>
      </c>
      <c r="H135" s="8"/>
      <c r="I135" s="8" t="s">
        <v>32</v>
      </c>
      <c r="J135" s="9"/>
      <c r="K135" s="7"/>
      <c r="L135" s="8"/>
      <c r="M135" s="7" t="s">
        <v>400</v>
      </c>
    </row>
    <row r="136" customFormat="false" ht="23.85" hidden="false" customHeight="false" outlineLevel="0" collapsed="false">
      <c r="A136" s="7" t="s">
        <v>401</v>
      </c>
      <c r="B136" s="7" t="s">
        <v>402</v>
      </c>
      <c r="C136" s="7" t="s">
        <v>398</v>
      </c>
      <c r="D136" s="7" t="s">
        <v>399</v>
      </c>
      <c r="E136" s="8"/>
      <c r="F136" s="8"/>
      <c r="G136" s="8" t="s">
        <v>292</v>
      </c>
      <c r="H136" s="8"/>
      <c r="I136" s="8" t="s">
        <v>32</v>
      </c>
      <c r="J136" s="9"/>
      <c r="K136" s="7"/>
      <c r="L136" s="8"/>
      <c r="M136" s="7" t="s">
        <v>403</v>
      </c>
    </row>
    <row r="137" customFormat="false" ht="23.85" hidden="false" customHeight="false" outlineLevel="0" collapsed="false">
      <c r="A137" s="7" t="s">
        <v>404</v>
      </c>
      <c r="B137" s="7" t="s">
        <v>405</v>
      </c>
      <c r="C137" s="7" t="s">
        <v>406</v>
      </c>
      <c r="D137" s="7" t="s">
        <v>407</v>
      </c>
      <c r="E137" s="8"/>
      <c r="F137" s="8"/>
      <c r="G137" s="8" t="s">
        <v>292</v>
      </c>
      <c r="H137" s="8"/>
      <c r="I137" s="8" t="s">
        <v>32</v>
      </c>
      <c r="J137" s="9"/>
      <c r="K137" s="7"/>
      <c r="L137" s="8"/>
      <c r="M137" s="7" t="s">
        <v>408</v>
      </c>
    </row>
    <row r="138" customFormat="false" ht="23.85" hidden="false" customHeight="false" outlineLevel="0" collapsed="false">
      <c r="A138" s="7" t="s">
        <v>409</v>
      </c>
      <c r="B138" s="7" t="s">
        <v>410</v>
      </c>
      <c r="C138" s="7" t="s">
        <v>411</v>
      </c>
      <c r="D138" s="7" t="s">
        <v>372</v>
      </c>
      <c r="E138" s="8"/>
      <c r="F138" s="8"/>
      <c r="G138" s="8" t="s">
        <v>292</v>
      </c>
      <c r="H138" s="8"/>
      <c r="I138" s="8" t="s">
        <v>32</v>
      </c>
      <c r="J138" s="9"/>
      <c r="K138" s="7"/>
      <c r="L138" s="8"/>
      <c r="M138" s="7" t="s">
        <v>412</v>
      </c>
    </row>
    <row r="139" customFormat="false" ht="23.85" hidden="false" customHeight="false" outlineLevel="0" collapsed="false">
      <c r="A139" s="7" t="s">
        <v>413</v>
      </c>
      <c r="B139" s="7" t="s">
        <v>414</v>
      </c>
      <c r="C139" s="7" t="s">
        <v>415</v>
      </c>
      <c r="D139" s="7" t="s">
        <v>372</v>
      </c>
      <c r="E139" s="8"/>
      <c r="F139" s="8"/>
      <c r="G139" s="8" t="s">
        <v>292</v>
      </c>
      <c r="H139" s="8"/>
      <c r="I139" s="8" t="s">
        <v>32</v>
      </c>
      <c r="J139" s="9"/>
      <c r="K139" s="7"/>
      <c r="L139" s="8"/>
      <c r="M139" s="7" t="s">
        <v>416</v>
      </c>
    </row>
    <row r="140" customFormat="false" ht="15" hidden="false" customHeight="false" outlineLevel="0" collapsed="false">
      <c r="A140" s="7" t="s">
        <v>417</v>
      </c>
      <c r="B140" s="7" t="s">
        <v>295</v>
      </c>
      <c r="C140" s="7" t="s">
        <v>331</v>
      </c>
      <c r="D140" s="7"/>
      <c r="E140" s="8"/>
      <c r="F140" s="8"/>
      <c r="G140" s="8" t="s">
        <v>297</v>
      </c>
      <c r="H140" s="8"/>
      <c r="I140" s="8" t="s">
        <v>32</v>
      </c>
      <c r="J140" s="9"/>
      <c r="K140" s="7"/>
      <c r="L140" s="8"/>
      <c r="M140" s="7" t="s">
        <v>418</v>
      </c>
    </row>
    <row r="141" customFormat="false" ht="15" hidden="false" customHeight="false" outlineLevel="0" collapsed="false">
      <c r="A141" s="7" t="s">
        <v>419</v>
      </c>
      <c r="B141" s="7" t="s">
        <v>295</v>
      </c>
      <c r="C141" s="7" t="s">
        <v>331</v>
      </c>
      <c r="D141" s="7"/>
      <c r="E141" s="8"/>
      <c r="F141" s="8"/>
      <c r="G141" s="8" t="s">
        <v>297</v>
      </c>
      <c r="H141" s="8"/>
      <c r="I141" s="8" t="s">
        <v>32</v>
      </c>
      <c r="J141" s="9"/>
      <c r="K141" s="7"/>
      <c r="L141" s="8"/>
      <c r="M141" s="7" t="s">
        <v>420</v>
      </c>
    </row>
    <row r="142" customFormat="false" ht="23.85" hidden="false" customHeight="false" outlineLevel="0" collapsed="false">
      <c r="A142" s="7" t="s">
        <v>421</v>
      </c>
      <c r="B142" s="7" t="s">
        <v>422</v>
      </c>
      <c r="C142" s="7" t="s">
        <v>331</v>
      </c>
      <c r="D142" s="7" t="s">
        <v>423</v>
      </c>
      <c r="E142" s="8"/>
      <c r="F142" s="8"/>
      <c r="G142" s="8" t="s">
        <v>292</v>
      </c>
      <c r="H142" s="8"/>
      <c r="I142" s="8" t="s">
        <v>32</v>
      </c>
      <c r="J142" s="9"/>
      <c r="K142" s="7"/>
      <c r="L142" s="8"/>
      <c r="M142" s="7" t="s">
        <v>424</v>
      </c>
    </row>
    <row r="143" customFormat="false" ht="23.85" hidden="false" customHeight="false" outlineLevel="0" collapsed="false">
      <c r="A143" s="7" t="s">
        <v>425</v>
      </c>
      <c r="B143" s="7" t="s">
        <v>426</v>
      </c>
      <c r="C143" s="7" t="s">
        <v>411</v>
      </c>
      <c r="D143" s="7" t="s">
        <v>427</v>
      </c>
      <c r="E143" s="8"/>
      <c r="F143" s="8"/>
      <c r="G143" s="8" t="s">
        <v>292</v>
      </c>
      <c r="H143" s="8"/>
      <c r="I143" s="8" t="s">
        <v>32</v>
      </c>
      <c r="J143" s="9"/>
      <c r="K143" s="7"/>
      <c r="L143" s="8"/>
      <c r="M143" s="7" t="s">
        <v>428</v>
      </c>
    </row>
    <row r="144" customFormat="false" ht="23.85" hidden="false" customHeight="false" outlineLevel="0" collapsed="false">
      <c r="A144" s="7" t="s">
        <v>429</v>
      </c>
      <c r="B144" s="7" t="s">
        <v>430</v>
      </c>
      <c r="C144" s="7" t="s">
        <v>431</v>
      </c>
      <c r="D144" s="7" t="s">
        <v>430</v>
      </c>
      <c r="E144" s="8"/>
      <c r="F144" s="8"/>
      <c r="G144" s="8" t="s">
        <v>292</v>
      </c>
      <c r="H144" s="8"/>
      <c r="I144" s="8" t="s">
        <v>32</v>
      </c>
      <c r="J144" s="9"/>
      <c r="K144" s="7"/>
      <c r="L144" s="8"/>
      <c r="M144" s="7" t="s">
        <v>432</v>
      </c>
    </row>
    <row r="145" customFormat="false" ht="23.85" hidden="false" customHeight="false" outlineLevel="0" collapsed="false">
      <c r="A145" s="7" t="s">
        <v>433</v>
      </c>
      <c r="B145" s="7" t="s">
        <v>434</v>
      </c>
      <c r="C145" s="7" t="s">
        <v>398</v>
      </c>
      <c r="D145" s="7" t="s">
        <v>434</v>
      </c>
      <c r="E145" s="8"/>
      <c r="F145" s="8"/>
      <c r="G145" s="8" t="s">
        <v>292</v>
      </c>
      <c r="H145" s="8"/>
      <c r="I145" s="8" t="s">
        <v>32</v>
      </c>
      <c r="J145" s="9"/>
      <c r="K145" s="7"/>
      <c r="L145" s="8"/>
      <c r="M145" s="7" t="s">
        <v>435</v>
      </c>
    </row>
    <row r="146" customFormat="false" ht="15" hidden="false" customHeight="false" outlineLevel="0" collapsed="false">
      <c r="A146" s="7" t="s">
        <v>436</v>
      </c>
      <c r="B146" s="7" t="s">
        <v>295</v>
      </c>
      <c r="C146" s="7" t="s">
        <v>359</v>
      </c>
      <c r="D146" s="7"/>
      <c r="E146" s="8"/>
      <c r="F146" s="8"/>
      <c r="G146" s="8" t="s">
        <v>297</v>
      </c>
      <c r="H146" s="8"/>
      <c r="I146" s="8" t="s">
        <v>32</v>
      </c>
      <c r="J146" s="9"/>
      <c r="K146" s="7"/>
      <c r="L146" s="8"/>
      <c r="M146" s="7" t="s">
        <v>437</v>
      </c>
    </row>
    <row r="147" customFormat="false" ht="23.85" hidden="false" customHeight="false" outlineLevel="0" collapsed="false">
      <c r="A147" s="7" t="s">
        <v>438</v>
      </c>
      <c r="B147" s="7" t="s">
        <v>439</v>
      </c>
      <c r="C147" s="7" t="s">
        <v>398</v>
      </c>
      <c r="D147" s="7" t="s">
        <v>440</v>
      </c>
      <c r="E147" s="8"/>
      <c r="F147" s="8"/>
      <c r="G147" s="8" t="s">
        <v>292</v>
      </c>
      <c r="H147" s="8"/>
      <c r="I147" s="8" t="s">
        <v>32</v>
      </c>
      <c r="J147" s="9"/>
      <c r="K147" s="7"/>
      <c r="L147" s="8"/>
      <c r="M147" s="7" t="s">
        <v>441</v>
      </c>
    </row>
    <row r="148" customFormat="false" ht="15" hidden="false" customHeight="false" outlineLevel="0" collapsed="false">
      <c r="A148" s="7" t="s">
        <v>442</v>
      </c>
      <c r="B148" s="7" t="s">
        <v>295</v>
      </c>
      <c r="C148" s="7" t="s">
        <v>411</v>
      </c>
      <c r="D148" s="7"/>
      <c r="E148" s="8"/>
      <c r="F148" s="8"/>
      <c r="G148" s="8" t="s">
        <v>297</v>
      </c>
      <c r="H148" s="8"/>
      <c r="I148" s="8" t="s">
        <v>32</v>
      </c>
      <c r="J148" s="9"/>
      <c r="K148" s="7"/>
      <c r="L148" s="8"/>
      <c r="M148" s="7" t="s">
        <v>443</v>
      </c>
    </row>
    <row r="149" customFormat="false" ht="23.85" hidden="false" customHeight="false" outlineLevel="0" collapsed="false">
      <c r="A149" s="7" t="s">
        <v>444</v>
      </c>
      <c r="B149" s="7" t="s">
        <v>445</v>
      </c>
      <c r="C149" s="7" t="s">
        <v>446</v>
      </c>
      <c r="D149" s="7" t="s">
        <v>339</v>
      </c>
      <c r="E149" s="8"/>
      <c r="F149" s="8"/>
      <c r="G149" s="8" t="s">
        <v>292</v>
      </c>
      <c r="H149" s="8"/>
      <c r="I149" s="8" t="s">
        <v>32</v>
      </c>
      <c r="J149" s="9"/>
      <c r="K149" s="7"/>
      <c r="L149" s="8"/>
      <c r="M149" s="7" t="s">
        <v>447</v>
      </c>
    </row>
    <row r="150" customFormat="false" ht="23.85" hidden="false" customHeight="false" outlineLevel="0" collapsed="false">
      <c r="A150" s="7" t="s">
        <v>448</v>
      </c>
      <c r="B150" s="7" t="s">
        <v>449</v>
      </c>
      <c r="C150" s="7" t="s">
        <v>450</v>
      </c>
      <c r="D150" s="7"/>
      <c r="E150" s="8"/>
      <c r="F150" s="8"/>
      <c r="G150" s="8" t="s">
        <v>451</v>
      </c>
      <c r="H150" s="8"/>
      <c r="I150" s="8" t="s">
        <v>32</v>
      </c>
      <c r="J150" s="9"/>
      <c r="K150" s="11" t="s">
        <v>452</v>
      </c>
      <c r="L150" s="8"/>
      <c r="M150" s="7" t="s">
        <v>453</v>
      </c>
    </row>
    <row r="151" customFormat="false" ht="23.85" hidden="false" customHeight="false" outlineLevel="0" collapsed="false">
      <c r="A151" s="7" t="s">
        <v>454</v>
      </c>
      <c r="B151" s="7" t="s">
        <v>455</v>
      </c>
      <c r="C151" s="7" t="s">
        <v>456</v>
      </c>
      <c r="D151" s="7" t="s">
        <v>457</v>
      </c>
      <c r="E151" s="8"/>
      <c r="F151" s="8"/>
      <c r="G151" s="8" t="s">
        <v>292</v>
      </c>
      <c r="H151" s="8"/>
      <c r="I151" s="8" t="s">
        <v>32</v>
      </c>
      <c r="J151" s="9"/>
      <c r="K151" s="7"/>
      <c r="L151" s="8"/>
      <c r="M151" s="7" t="s">
        <v>458</v>
      </c>
    </row>
    <row r="152" customFormat="false" ht="23.85" hidden="false" customHeight="false" outlineLevel="0" collapsed="false">
      <c r="A152" s="7" t="s">
        <v>459</v>
      </c>
      <c r="B152" s="7" t="s">
        <v>460</v>
      </c>
      <c r="C152" s="7" t="s">
        <v>398</v>
      </c>
      <c r="D152" s="7" t="s">
        <v>339</v>
      </c>
      <c r="E152" s="8"/>
      <c r="F152" s="8"/>
      <c r="G152" s="8" t="s">
        <v>292</v>
      </c>
      <c r="H152" s="8"/>
      <c r="I152" s="8" t="s">
        <v>32</v>
      </c>
      <c r="J152" s="9"/>
      <c r="K152" s="7"/>
      <c r="L152" s="8"/>
      <c r="M152" s="7" t="s">
        <v>461</v>
      </c>
    </row>
    <row r="153" customFormat="false" ht="23.85" hidden="false" customHeight="false" outlineLevel="0" collapsed="false">
      <c r="A153" s="7" t="s">
        <v>462</v>
      </c>
      <c r="B153" s="7" t="s">
        <v>463</v>
      </c>
      <c r="C153" s="7" t="s">
        <v>398</v>
      </c>
      <c r="D153" s="7" t="s">
        <v>339</v>
      </c>
      <c r="E153" s="8"/>
      <c r="F153" s="8"/>
      <c r="G153" s="8" t="s">
        <v>292</v>
      </c>
      <c r="H153" s="8"/>
      <c r="I153" s="8" t="s">
        <v>32</v>
      </c>
      <c r="J153" s="9"/>
      <c r="K153" s="7"/>
      <c r="L153" s="8"/>
      <c r="M153" s="7" t="s">
        <v>464</v>
      </c>
    </row>
    <row r="154" customFormat="false" ht="15" hidden="false" customHeight="false" outlineLevel="0" collapsed="false">
      <c r="A154" s="7" t="s">
        <v>465</v>
      </c>
      <c r="B154" s="7" t="s">
        <v>466</v>
      </c>
      <c r="C154" s="7" t="s">
        <v>467</v>
      </c>
      <c r="D154" s="7"/>
      <c r="E154" s="8"/>
      <c r="F154" s="8"/>
      <c r="G154" s="8" t="s">
        <v>468</v>
      </c>
      <c r="H154" s="8"/>
      <c r="I154" s="8" t="s">
        <v>32</v>
      </c>
      <c r="J154" s="9"/>
      <c r="K154" s="7"/>
      <c r="L154" s="8"/>
      <c r="M154" s="7" t="s">
        <v>469</v>
      </c>
    </row>
    <row r="155" customFormat="false" ht="23.85" hidden="false" customHeight="false" outlineLevel="0" collapsed="false">
      <c r="A155" s="7" t="s">
        <v>470</v>
      </c>
      <c r="B155" s="7" t="s">
        <v>471</v>
      </c>
      <c r="C155" s="7" t="s">
        <v>398</v>
      </c>
      <c r="D155" s="7" t="s">
        <v>339</v>
      </c>
      <c r="E155" s="8"/>
      <c r="F155" s="8"/>
      <c r="G155" s="8" t="s">
        <v>292</v>
      </c>
      <c r="H155" s="8"/>
      <c r="I155" s="8" t="s">
        <v>32</v>
      </c>
      <c r="J155" s="9"/>
      <c r="K155" s="11" t="s">
        <v>472</v>
      </c>
      <c r="L155" s="8"/>
      <c r="M155" s="7" t="s">
        <v>473</v>
      </c>
    </row>
    <row r="156" customFormat="false" ht="23.85" hidden="false" customHeight="false" outlineLevel="0" collapsed="false">
      <c r="A156" s="7" t="s">
        <v>470</v>
      </c>
      <c r="B156" s="7" t="s">
        <v>474</v>
      </c>
      <c r="C156" s="7" t="s">
        <v>398</v>
      </c>
      <c r="D156" s="7" t="s">
        <v>372</v>
      </c>
      <c r="E156" s="8"/>
      <c r="F156" s="8"/>
      <c r="G156" s="8" t="s">
        <v>292</v>
      </c>
      <c r="H156" s="8"/>
      <c r="I156" s="8" t="s">
        <v>32</v>
      </c>
      <c r="J156" s="9"/>
      <c r="K156" s="11" t="s">
        <v>475</v>
      </c>
      <c r="L156" s="8"/>
      <c r="M156" s="7" t="s">
        <v>476</v>
      </c>
    </row>
    <row r="157" customFormat="false" ht="23.85" hidden="false" customHeight="false" outlineLevel="0" collapsed="false">
      <c r="A157" s="7" t="s">
        <v>477</v>
      </c>
      <c r="B157" s="7" t="s">
        <v>295</v>
      </c>
      <c r="C157" s="7" t="s">
        <v>478</v>
      </c>
      <c r="D157" s="7" t="s">
        <v>479</v>
      </c>
      <c r="E157" s="8"/>
      <c r="F157" s="8"/>
      <c r="G157" s="8" t="s">
        <v>292</v>
      </c>
      <c r="H157" s="8"/>
      <c r="I157" s="8" t="s">
        <v>32</v>
      </c>
      <c r="J157" s="9"/>
      <c r="K157" s="7"/>
      <c r="L157" s="8"/>
      <c r="M157" s="7" t="s">
        <v>480</v>
      </c>
    </row>
    <row r="158" customFormat="false" ht="23.85" hidden="false" customHeight="false" outlineLevel="0" collapsed="false">
      <c r="A158" s="7" t="s">
        <v>481</v>
      </c>
      <c r="B158" s="7" t="s">
        <v>295</v>
      </c>
      <c r="C158" s="7" t="s">
        <v>482</v>
      </c>
      <c r="D158" s="7" t="s">
        <v>399</v>
      </c>
      <c r="E158" s="8"/>
      <c r="F158" s="8"/>
      <c r="G158" s="8" t="s">
        <v>292</v>
      </c>
      <c r="H158" s="8"/>
      <c r="I158" s="8" t="s">
        <v>32</v>
      </c>
      <c r="J158" s="9"/>
      <c r="K158" s="7"/>
      <c r="L158" s="8"/>
      <c r="M158" s="7" t="s">
        <v>483</v>
      </c>
    </row>
    <row r="159" customFormat="false" ht="23.85" hidden="false" customHeight="false" outlineLevel="0" collapsed="false">
      <c r="A159" s="7" t="s">
        <v>484</v>
      </c>
      <c r="B159" s="7" t="s">
        <v>350</v>
      </c>
      <c r="C159" s="7" t="s">
        <v>485</v>
      </c>
      <c r="D159" s="7" t="s">
        <v>339</v>
      </c>
      <c r="E159" s="8"/>
      <c r="F159" s="8"/>
      <c r="G159" s="8" t="s">
        <v>292</v>
      </c>
      <c r="H159" s="8"/>
      <c r="I159" s="8" t="s">
        <v>32</v>
      </c>
      <c r="J159" s="9"/>
      <c r="K159" s="7"/>
      <c r="L159" s="8"/>
      <c r="M159" s="7" t="s">
        <v>486</v>
      </c>
    </row>
    <row r="160" customFormat="false" ht="15" hidden="false" customHeight="false" outlineLevel="0" collapsed="false">
      <c r="A160" s="7" t="s">
        <v>487</v>
      </c>
      <c r="B160" s="7" t="s">
        <v>488</v>
      </c>
      <c r="C160" s="7" t="s">
        <v>398</v>
      </c>
      <c r="D160" s="7"/>
      <c r="E160" s="8"/>
      <c r="F160" s="8"/>
      <c r="G160" s="8" t="s">
        <v>297</v>
      </c>
      <c r="H160" s="8"/>
      <c r="I160" s="8" t="s">
        <v>32</v>
      </c>
      <c r="J160" s="9"/>
      <c r="K160" s="7"/>
      <c r="L160" s="8"/>
      <c r="M160" s="7" t="s">
        <v>489</v>
      </c>
    </row>
    <row r="161" customFormat="false" ht="15" hidden="false" customHeight="false" outlineLevel="0" collapsed="false">
      <c r="A161" s="7" t="s">
        <v>490</v>
      </c>
      <c r="B161" s="7" t="s">
        <v>491</v>
      </c>
      <c r="C161" s="7" t="s">
        <v>1</v>
      </c>
      <c r="D161" s="7"/>
      <c r="E161" s="8"/>
      <c r="F161" s="8"/>
      <c r="G161" s="8" t="s">
        <v>468</v>
      </c>
      <c r="H161" s="8"/>
      <c r="I161" s="8" t="s">
        <v>32</v>
      </c>
      <c r="J161" s="9"/>
      <c r="K161" s="7"/>
      <c r="L161" s="8"/>
      <c r="M161" s="7" t="s">
        <v>492</v>
      </c>
    </row>
    <row r="162" customFormat="false" ht="15" hidden="false" customHeight="false" outlineLevel="0" collapsed="false">
      <c r="A162" s="7" t="s">
        <v>493</v>
      </c>
      <c r="B162" s="7" t="s">
        <v>494</v>
      </c>
      <c r="C162" s="7" t="s">
        <v>495</v>
      </c>
      <c r="D162" s="7"/>
      <c r="E162" s="8"/>
      <c r="F162" s="8"/>
      <c r="G162" s="8" t="s">
        <v>297</v>
      </c>
      <c r="H162" s="8"/>
      <c r="I162" s="8" t="s">
        <v>32</v>
      </c>
      <c r="J162" s="9"/>
      <c r="K162" s="7"/>
      <c r="L162" s="8"/>
      <c r="M162" s="7" t="s">
        <v>496</v>
      </c>
    </row>
    <row r="163" customFormat="false" ht="15" hidden="false" customHeight="false" outlineLevel="0" collapsed="false">
      <c r="A163" s="7" t="s">
        <v>497</v>
      </c>
      <c r="B163" s="7" t="s">
        <v>295</v>
      </c>
      <c r="C163" s="7" t="s">
        <v>359</v>
      </c>
      <c r="D163" s="7"/>
      <c r="E163" s="8"/>
      <c r="F163" s="8"/>
      <c r="G163" s="8" t="s">
        <v>297</v>
      </c>
      <c r="H163" s="8"/>
      <c r="I163" s="8" t="s">
        <v>32</v>
      </c>
      <c r="J163" s="9"/>
      <c r="K163" s="7"/>
      <c r="L163" s="8"/>
      <c r="M163" s="7" t="s">
        <v>498</v>
      </c>
    </row>
    <row r="164" customFormat="false" ht="23.85" hidden="false" customHeight="false" outlineLevel="0" collapsed="false">
      <c r="A164" s="7" t="s">
        <v>499</v>
      </c>
      <c r="B164" s="7" t="s">
        <v>500</v>
      </c>
      <c r="C164" s="7" t="s">
        <v>16</v>
      </c>
      <c r="D164" s="7" t="s">
        <v>339</v>
      </c>
      <c r="E164" s="8"/>
      <c r="F164" s="8"/>
      <c r="G164" s="8" t="s">
        <v>292</v>
      </c>
      <c r="H164" s="8"/>
      <c r="I164" s="8" t="s">
        <v>32</v>
      </c>
      <c r="J164" s="9"/>
      <c r="K164" s="7"/>
      <c r="L164" s="8"/>
      <c r="M164" s="7" t="s">
        <v>501</v>
      </c>
    </row>
    <row r="165" customFormat="false" ht="23.85" hidden="false" customHeight="false" outlineLevel="0" collapsed="false">
      <c r="A165" s="7" t="s">
        <v>502</v>
      </c>
      <c r="B165" s="7" t="s">
        <v>503</v>
      </c>
      <c r="C165" s="7" t="s">
        <v>331</v>
      </c>
      <c r="D165" s="7" t="s">
        <v>504</v>
      </c>
      <c r="E165" s="8"/>
      <c r="F165" s="8"/>
      <c r="G165" s="8" t="s">
        <v>292</v>
      </c>
      <c r="H165" s="8"/>
      <c r="I165" s="8" t="s">
        <v>32</v>
      </c>
      <c r="J165" s="9"/>
      <c r="K165" s="7"/>
      <c r="L165" s="8"/>
      <c r="M165" s="7" t="s">
        <v>505</v>
      </c>
    </row>
    <row r="166" customFormat="false" ht="23.85" hidden="false" customHeight="false" outlineLevel="0" collapsed="false">
      <c r="A166" s="7" t="s">
        <v>506</v>
      </c>
      <c r="B166" s="7" t="s">
        <v>507</v>
      </c>
      <c r="C166" s="7" t="s">
        <v>331</v>
      </c>
      <c r="D166" s="7"/>
      <c r="E166" s="8"/>
      <c r="F166" s="8"/>
      <c r="G166" s="8" t="s">
        <v>297</v>
      </c>
      <c r="H166" s="8"/>
      <c r="I166" s="8" t="s">
        <v>32</v>
      </c>
      <c r="J166" s="9"/>
      <c r="K166" s="7"/>
      <c r="L166" s="8"/>
      <c r="M166" s="7" t="s">
        <v>508</v>
      </c>
    </row>
    <row r="167" customFormat="false" ht="15" hidden="false" customHeight="false" outlineLevel="0" collapsed="false">
      <c r="A167" s="7" t="s">
        <v>509</v>
      </c>
      <c r="B167" s="7" t="s">
        <v>510</v>
      </c>
      <c r="C167" s="7" t="s">
        <v>331</v>
      </c>
      <c r="D167" s="7"/>
      <c r="E167" s="8"/>
      <c r="F167" s="8"/>
      <c r="G167" s="8" t="s">
        <v>297</v>
      </c>
      <c r="H167" s="8"/>
      <c r="I167" s="8" t="s">
        <v>32</v>
      </c>
      <c r="J167" s="9"/>
      <c r="K167" s="7"/>
      <c r="L167" s="8"/>
      <c r="M167" s="7" t="s">
        <v>511</v>
      </c>
    </row>
    <row r="168" customFormat="false" ht="15" hidden="false" customHeight="false" outlineLevel="0" collapsed="false">
      <c r="A168" s="7" t="s">
        <v>512</v>
      </c>
      <c r="B168" s="7" t="s">
        <v>513</v>
      </c>
      <c r="C168" s="7" t="s">
        <v>331</v>
      </c>
      <c r="D168" s="7"/>
      <c r="E168" s="8"/>
      <c r="F168" s="8"/>
      <c r="G168" s="8" t="s">
        <v>297</v>
      </c>
      <c r="H168" s="8"/>
      <c r="I168" s="8" t="s">
        <v>32</v>
      </c>
      <c r="J168" s="9"/>
      <c r="K168" s="7"/>
      <c r="L168" s="8"/>
      <c r="M168" s="7" t="s">
        <v>514</v>
      </c>
    </row>
    <row r="169" customFormat="false" ht="15" hidden="false" customHeight="false" outlineLevel="0" collapsed="false">
      <c r="A169" s="7" t="s">
        <v>515</v>
      </c>
      <c r="B169" s="7" t="s">
        <v>516</v>
      </c>
      <c r="C169" s="7" t="s">
        <v>398</v>
      </c>
      <c r="D169" s="7"/>
      <c r="E169" s="8"/>
      <c r="F169" s="8"/>
      <c r="G169" s="8" t="s">
        <v>297</v>
      </c>
      <c r="H169" s="8"/>
      <c r="I169" s="8" t="s">
        <v>32</v>
      </c>
      <c r="J169" s="9"/>
      <c r="K169" s="7"/>
      <c r="L169" s="8"/>
      <c r="M169" s="7" t="s">
        <v>517</v>
      </c>
    </row>
    <row r="170" customFormat="false" ht="15" hidden="false" customHeight="false" outlineLevel="0" collapsed="false">
      <c r="A170" s="7" t="s">
        <v>518</v>
      </c>
      <c r="B170" s="7" t="s">
        <v>516</v>
      </c>
      <c r="C170" s="7" t="s">
        <v>519</v>
      </c>
      <c r="D170" s="7"/>
      <c r="E170" s="8"/>
      <c r="F170" s="8"/>
      <c r="G170" s="8" t="s">
        <v>297</v>
      </c>
      <c r="H170" s="8"/>
      <c r="I170" s="8" t="s">
        <v>32</v>
      </c>
      <c r="J170" s="9"/>
      <c r="K170" s="7"/>
      <c r="L170" s="8"/>
      <c r="M170" s="7" t="s">
        <v>520</v>
      </c>
    </row>
    <row r="171" customFormat="false" ht="23.85" hidden="false" customHeight="false" outlineLevel="0" collapsed="false">
      <c r="A171" s="7" t="s">
        <v>521</v>
      </c>
      <c r="B171" s="7" t="s">
        <v>295</v>
      </c>
      <c r="C171" s="7" t="s">
        <v>522</v>
      </c>
      <c r="D171" s="7" t="s">
        <v>523</v>
      </c>
      <c r="E171" s="8"/>
      <c r="F171" s="8"/>
      <c r="G171" s="8" t="s">
        <v>292</v>
      </c>
      <c r="H171" s="8"/>
      <c r="I171" s="8" t="s">
        <v>32</v>
      </c>
      <c r="J171" s="9"/>
      <c r="K171" s="7"/>
      <c r="L171" s="8"/>
      <c r="M171" s="7" t="s">
        <v>524</v>
      </c>
    </row>
    <row r="172" customFormat="false" ht="23.85" hidden="false" customHeight="false" outlineLevel="0" collapsed="false">
      <c r="A172" s="7" t="s">
        <v>525</v>
      </c>
      <c r="B172" s="7" t="s">
        <v>526</v>
      </c>
      <c r="C172" s="7" t="s">
        <v>16</v>
      </c>
      <c r="D172" s="7" t="s">
        <v>527</v>
      </c>
      <c r="E172" s="8"/>
      <c r="F172" s="8"/>
      <c r="G172" s="8" t="s">
        <v>292</v>
      </c>
      <c r="H172" s="8"/>
      <c r="I172" s="8" t="s">
        <v>32</v>
      </c>
      <c r="J172" s="9"/>
      <c r="K172" s="7"/>
      <c r="L172" s="8"/>
      <c r="M172" s="7" t="s">
        <v>528</v>
      </c>
    </row>
    <row r="173" customFormat="false" ht="15" hidden="false" customHeight="false" outlineLevel="0" collapsed="false">
      <c r="A173" s="7" t="s">
        <v>529</v>
      </c>
      <c r="B173" s="7" t="s">
        <v>530</v>
      </c>
      <c r="C173" s="7" t="s">
        <v>331</v>
      </c>
      <c r="D173" s="7"/>
      <c r="E173" s="8"/>
      <c r="F173" s="8"/>
      <c r="G173" s="8" t="s">
        <v>297</v>
      </c>
      <c r="H173" s="8"/>
      <c r="I173" s="8" t="s">
        <v>32</v>
      </c>
      <c r="J173" s="9"/>
      <c r="K173" s="7"/>
      <c r="L173" s="8"/>
      <c r="M173" s="7" t="s">
        <v>531</v>
      </c>
    </row>
    <row r="174" customFormat="false" ht="15" hidden="false" customHeight="false" outlineLevel="0" collapsed="false">
      <c r="A174" s="7" t="s">
        <v>532</v>
      </c>
      <c r="B174" s="7" t="s">
        <v>295</v>
      </c>
      <c r="C174" s="7" t="s">
        <v>411</v>
      </c>
      <c r="D174" s="7"/>
      <c r="E174" s="8"/>
      <c r="F174" s="8"/>
      <c r="G174" s="8" t="s">
        <v>297</v>
      </c>
      <c r="H174" s="8"/>
      <c r="I174" s="8" t="s">
        <v>32</v>
      </c>
      <c r="J174" s="9"/>
      <c r="K174" s="11" t="s">
        <v>533</v>
      </c>
      <c r="L174" s="8"/>
      <c r="M174" s="7" t="s">
        <v>534</v>
      </c>
    </row>
    <row r="175" customFormat="false" ht="15" hidden="false" customHeight="false" outlineLevel="0" collapsed="false">
      <c r="A175" s="7" t="s">
        <v>535</v>
      </c>
      <c r="B175" s="7" t="s">
        <v>536</v>
      </c>
      <c r="C175" s="7" t="s">
        <v>359</v>
      </c>
      <c r="D175" s="7"/>
      <c r="E175" s="8"/>
      <c r="F175" s="8"/>
      <c r="G175" s="8" t="s">
        <v>297</v>
      </c>
      <c r="H175" s="8"/>
      <c r="I175" s="8" t="s">
        <v>32</v>
      </c>
      <c r="J175" s="9"/>
      <c r="K175" s="7"/>
      <c r="L175" s="8"/>
      <c r="M175" s="7" t="s">
        <v>537</v>
      </c>
    </row>
    <row r="176" customFormat="false" ht="15" hidden="false" customHeight="false" outlineLevel="0" collapsed="false">
      <c r="A176" s="7" t="s">
        <v>532</v>
      </c>
      <c r="B176" s="7" t="s">
        <v>295</v>
      </c>
      <c r="C176" s="7" t="s">
        <v>538</v>
      </c>
      <c r="D176" s="7"/>
      <c r="E176" s="8"/>
      <c r="F176" s="8"/>
      <c r="G176" s="8" t="s">
        <v>297</v>
      </c>
      <c r="H176" s="8"/>
      <c r="I176" s="8" t="s">
        <v>32</v>
      </c>
      <c r="J176" s="9"/>
      <c r="K176" s="11" t="s">
        <v>539</v>
      </c>
      <c r="L176" s="8"/>
      <c r="M176" s="7" t="s">
        <v>540</v>
      </c>
    </row>
    <row r="177" customFormat="false" ht="23.85" hidden="false" customHeight="false" outlineLevel="0" collapsed="false">
      <c r="A177" s="7" t="s">
        <v>541</v>
      </c>
      <c r="B177" s="7" t="s">
        <v>542</v>
      </c>
      <c r="C177" s="7" t="s">
        <v>353</v>
      </c>
      <c r="D177" s="7" t="s">
        <v>543</v>
      </c>
      <c r="E177" s="8"/>
      <c r="F177" s="8"/>
      <c r="G177" s="8" t="s">
        <v>292</v>
      </c>
      <c r="H177" s="8"/>
      <c r="I177" s="8" t="s">
        <v>32</v>
      </c>
      <c r="J177" s="9"/>
      <c r="K177" s="7"/>
      <c r="L177" s="8"/>
      <c r="M177" s="7" t="s">
        <v>544</v>
      </c>
    </row>
    <row r="178" customFormat="false" ht="15" hidden="false" customHeight="false" outlineLevel="0" collapsed="false">
      <c r="A178" s="7" t="s">
        <v>545</v>
      </c>
      <c r="B178" s="7" t="s">
        <v>295</v>
      </c>
      <c r="C178" s="7" t="s">
        <v>546</v>
      </c>
      <c r="D178" s="7"/>
      <c r="E178" s="8"/>
      <c r="F178" s="8"/>
      <c r="G178" s="8" t="s">
        <v>297</v>
      </c>
      <c r="H178" s="8"/>
      <c r="I178" s="8" t="s">
        <v>32</v>
      </c>
      <c r="J178" s="9"/>
      <c r="K178" s="7"/>
      <c r="L178" s="8"/>
      <c r="M178" s="7" t="s">
        <v>547</v>
      </c>
    </row>
    <row r="179" customFormat="false" ht="23.85" hidden="false" customHeight="false" outlineLevel="0" collapsed="false">
      <c r="A179" s="7" t="s">
        <v>548</v>
      </c>
      <c r="B179" s="7" t="s">
        <v>295</v>
      </c>
      <c r="C179" s="7" t="s">
        <v>549</v>
      </c>
      <c r="D179" s="7" t="s">
        <v>339</v>
      </c>
      <c r="E179" s="8"/>
      <c r="F179" s="8"/>
      <c r="G179" s="8" t="s">
        <v>292</v>
      </c>
      <c r="H179" s="8"/>
      <c r="I179" s="8" t="s">
        <v>32</v>
      </c>
      <c r="J179" s="9"/>
      <c r="K179" s="7"/>
      <c r="L179" s="8"/>
      <c r="M179" s="7" t="s">
        <v>550</v>
      </c>
    </row>
    <row r="180" customFormat="false" ht="23.85" hidden="false" customHeight="false" outlineLevel="0" collapsed="false">
      <c r="A180" s="7" t="s">
        <v>551</v>
      </c>
      <c r="B180" s="7" t="s">
        <v>295</v>
      </c>
      <c r="C180" s="7" t="s">
        <v>552</v>
      </c>
      <c r="D180" s="7" t="s">
        <v>553</v>
      </c>
      <c r="E180" s="8"/>
      <c r="F180" s="8"/>
      <c r="G180" s="8" t="s">
        <v>292</v>
      </c>
      <c r="H180" s="8"/>
      <c r="I180" s="8" t="s">
        <v>32</v>
      </c>
      <c r="J180" s="9"/>
      <c r="K180" s="7"/>
      <c r="L180" s="8"/>
      <c r="M180" s="7" t="s">
        <v>554</v>
      </c>
    </row>
    <row r="181" customFormat="false" ht="23.85" hidden="false" customHeight="false" outlineLevel="0" collapsed="false">
      <c r="A181" s="7" t="s">
        <v>555</v>
      </c>
      <c r="B181" s="7" t="s">
        <v>295</v>
      </c>
      <c r="C181" s="7" t="s">
        <v>556</v>
      </c>
      <c r="D181" s="7" t="s">
        <v>557</v>
      </c>
      <c r="E181" s="8"/>
      <c r="F181" s="8"/>
      <c r="G181" s="8" t="s">
        <v>292</v>
      </c>
      <c r="H181" s="8"/>
      <c r="I181" s="8" t="s">
        <v>32</v>
      </c>
      <c r="J181" s="9"/>
      <c r="K181" s="7"/>
      <c r="L181" s="8"/>
      <c r="M181" s="7" t="s">
        <v>558</v>
      </c>
    </row>
    <row r="182" customFormat="false" ht="15" hidden="false" customHeight="false" outlineLevel="0" collapsed="false">
      <c r="A182" s="7" t="s">
        <v>559</v>
      </c>
      <c r="B182" s="7" t="s">
        <v>295</v>
      </c>
      <c r="C182" s="7" t="s">
        <v>560</v>
      </c>
      <c r="D182" s="7"/>
      <c r="E182" s="8"/>
      <c r="F182" s="8"/>
      <c r="G182" s="8" t="s">
        <v>297</v>
      </c>
      <c r="H182" s="8"/>
      <c r="I182" s="8" t="s">
        <v>32</v>
      </c>
      <c r="J182" s="9"/>
      <c r="K182" s="7"/>
      <c r="L182" s="8"/>
      <c r="M182" s="7" t="s">
        <v>561</v>
      </c>
    </row>
    <row r="183" customFormat="false" ht="23.85" hidden="false" customHeight="false" outlineLevel="0" collapsed="false">
      <c r="A183" s="7" t="s">
        <v>562</v>
      </c>
      <c r="B183" s="7" t="s">
        <v>295</v>
      </c>
      <c r="C183" s="7" t="s">
        <v>563</v>
      </c>
      <c r="D183" s="7" t="s">
        <v>564</v>
      </c>
      <c r="E183" s="8"/>
      <c r="F183" s="8"/>
      <c r="G183" s="8" t="s">
        <v>292</v>
      </c>
      <c r="H183" s="8"/>
      <c r="I183" s="8" t="s">
        <v>32</v>
      </c>
      <c r="J183" s="9"/>
      <c r="K183" s="7"/>
      <c r="L183" s="8"/>
      <c r="M183" s="7" t="s">
        <v>565</v>
      </c>
    </row>
    <row r="184" customFormat="false" ht="23.85" hidden="false" customHeight="false" outlineLevel="0" collapsed="false">
      <c r="A184" s="7" t="s">
        <v>566</v>
      </c>
      <c r="B184" s="7" t="s">
        <v>567</v>
      </c>
      <c r="C184" s="7" t="s">
        <v>568</v>
      </c>
      <c r="D184" s="7" t="s">
        <v>339</v>
      </c>
      <c r="E184" s="8"/>
      <c r="F184" s="8"/>
      <c r="G184" s="8" t="s">
        <v>292</v>
      </c>
      <c r="H184" s="8"/>
      <c r="I184" s="8" t="s">
        <v>32</v>
      </c>
      <c r="J184" s="9"/>
      <c r="K184" s="7"/>
      <c r="L184" s="8"/>
      <c r="M184" s="7" t="s">
        <v>569</v>
      </c>
    </row>
    <row r="185" customFormat="false" ht="35.05" hidden="false" customHeight="false" outlineLevel="0" collapsed="false">
      <c r="A185" s="7" t="s">
        <v>570</v>
      </c>
      <c r="B185" s="7" t="s">
        <v>571</v>
      </c>
      <c r="C185" s="7" t="s">
        <v>572</v>
      </c>
      <c r="D185" s="7" t="s">
        <v>573</v>
      </c>
      <c r="E185" s="8"/>
      <c r="F185" s="8"/>
      <c r="G185" s="8" t="s">
        <v>292</v>
      </c>
      <c r="H185" s="8"/>
      <c r="I185" s="8" t="s">
        <v>32</v>
      </c>
      <c r="J185" s="9"/>
      <c r="K185" s="7"/>
      <c r="L185" s="8"/>
      <c r="M185" s="7" t="s">
        <v>574</v>
      </c>
    </row>
    <row r="186" customFormat="false" ht="15" hidden="false" customHeight="false" outlineLevel="0" collapsed="false">
      <c r="A186" s="7" t="s">
        <v>575</v>
      </c>
      <c r="B186" s="7" t="s">
        <v>414</v>
      </c>
      <c r="C186" s="7" t="s">
        <v>359</v>
      </c>
      <c r="D186" s="7"/>
      <c r="E186" s="8"/>
      <c r="F186" s="8"/>
      <c r="G186" s="8" t="s">
        <v>297</v>
      </c>
      <c r="H186" s="8"/>
      <c r="I186" s="8" t="s">
        <v>32</v>
      </c>
      <c r="J186" s="9"/>
      <c r="K186" s="7"/>
      <c r="L186" s="8"/>
      <c r="M186" s="7" t="s">
        <v>576</v>
      </c>
    </row>
    <row r="187" customFormat="false" ht="23.85" hidden="false" customHeight="false" outlineLevel="0" collapsed="false">
      <c r="A187" s="7" t="s">
        <v>577</v>
      </c>
      <c r="B187" s="7" t="s">
        <v>414</v>
      </c>
      <c r="C187" s="7" t="s">
        <v>578</v>
      </c>
      <c r="D187" s="7" t="s">
        <v>579</v>
      </c>
      <c r="E187" s="8"/>
      <c r="F187" s="8"/>
      <c r="G187" s="8" t="s">
        <v>292</v>
      </c>
      <c r="H187" s="8"/>
      <c r="I187" s="8" t="s">
        <v>32</v>
      </c>
      <c r="J187" s="9"/>
      <c r="K187" s="7"/>
      <c r="L187" s="8"/>
      <c r="M187" s="7" t="s">
        <v>580</v>
      </c>
    </row>
    <row r="188" customFormat="false" ht="23.85" hidden="false" customHeight="false" outlineLevel="0" collapsed="false">
      <c r="A188" s="7" t="s">
        <v>581</v>
      </c>
      <c r="B188" s="7" t="s">
        <v>295</v>
      </c>
      <c r="C188" s="7" t="s">
        <v>582</v>
      </c>
      <c r="D188" s="7" t="s">
        <v>583</v>
      </c>
      <c r="E188" s="8"/>
      <c r="F188" s="8"/>
      <c r="G188" s="8" t="s">
        <v>292</v>
      </c>
      <c r="H188" s="8"/>
      <c r="I188" s="8" t="s">
        <v>32</v>
      </c>
      <c r="J188" s="9"/>
      <c r="K188" s="7"/>
      <c r="L188" s="8"/>
      <c r="M188" s="7" t="s">
        <v>584</v>
      </c>
    </row>
    <row r="189" customFormat="false" ht="15" hidden="false" customHeight="false" outlineLevel="0" collapsed="false">
      <c r="A189" s="7" t="s">
        <v>585</v>
      </c>
      <c r="B189" s="7" t="s">
        <v>586</v>
      </c>
      <c r="C189" s="7" t="s">
        <v>359</v>
      </c>
      <c r="D189" s="7"/>
      <c r="E189" s="8"/>
      <c r="F189" s="8"/>
      <c r="G189" s="8" t="s">
        <v>297</v>
      </c>
      <c r="H189" s="8"/>
      <c r="I189" s="8" t="s">
        <v>32</v>
      </c>
      <c r="J189" s="9"/>
      <c r="K189" s="7"/>
      <c r="L189" s="8"/>
      <c r="M189" s="7" t="s">
        <v>587</v>
      </c>
    </row>
    <row r="190" customFormat="false" ht="35.05" hidden="false" customHeight="false" outlineLevel="0" collapsed="false">
      <c r="A190" s="7" t="s">
        <v>588</v>
      </c>
      <c r="B190" s="7" t="s">
        <v>589</v>
      </c>
      <c r="C190" s="7" t="s">
        <v>590</v>
      </c>
      <c r="D190" s="7" t="s">
        <v>291</v>
      </c>
      <c r="E190" s="8"/>
      <c r="F190" s="8"/>
      <c r="G190" s="8" t="s">
        <v>292</v>
      </c>
      <c r="H190" s="8"/>
      <c r="I190" s="8" t="s">
        <v>32</v>
      </c>
      <c r="J190" s="9"/>
      <c r="K190" s="7"/>
      <c r="L190" s="8"/>
      <c r="M190" s="7" t="s">
        <v>591</v>
      </c>
    </row>
    <row r="191" customFormat="false" ht="15" hidden="false" customHeight="false" outlineLevel="0" collapsed="false">
      <c r="A191" s="7" t="s">
        <v>592</v>
      </c>
      <c r="B191" s="7" t="s">
        <v>586</v>
      </c>
      <c r="C191" s="7" t="s">
        <v>560</v>
      </c>
      <c r="D191" s="7"/>
      <c r="E191" s="8"/>
      <c r="F191" s="8"/>
      <c r="G191" s="8" t="s">
        <v>297</v>
      </c>
      <c r="H191" s="8"/>
      <c r="I191" s="8" t="s">
        <v>32</v>
      </c>
      <c r="J191" s="9"/>
      <c r="K191" s="7"/>
      <c r="L191" s="8"/>
      <c r="M191" s="7" t="s">
        <v>593</v>
      </c>
    </row>
    <row r="192" customFormat="false" ht="15" hidden="false" customHeight="false" outlineLevel="0" collapsed="false">
      <c r="A192" s="7" t="s">
        <v>594</v>
      </c>
      <c r="B192" s="7" t="s">
        <v>586</v>
      </c>
      <c r="C192" s="7" t="s">
        <v>560</v>
      </c>
      <c r="D192" s="7"/>
      <c r="E192" s="8"/>
      <c r="F192" s="8"/>
      <c r="G192" s="8" t="s">
        <v>297</v>
      </c>
      <c r="H192" s="8"/>
      <c r="I192" s="8" t="s">
        <v>32</v>
      </c>
      <c r="J192" s="9"/>
      <c r="K192" s="7"/>
      <c r="L192" s="8"/>
      <c r="M192" s="7" t="s">
        <v>595</v>
      </c>
    </row>
    <row r="193" customFormat="false" ht="23.85" hidden="false" customHeight="false" outlineLevel="0" collapsed="false">
      <c r="A193" s="7" t="s">
        <v>596</v>
      </c>
      <c r="B193" s="7" t="s">
        <v>295</v>
      </c>
      <c r="C193" s="7" t="s">
        <v>597</v>
      </c>
      <c r="D193" s="7" t="s">
        <v>339</v>
      </c>
      <c r="E193" s="8"/>
      <c r="F193" s="8"/>
      <c r="G193" s="8" t="s">
        <v>292</v>
      </c>
      <c r="H193" s="8"/>
      <c r="I193" s="8" t="s">
        <v>32</v>
      </c>
      <c r="J193" s="9"/>
      <c r="K193" s="7"/>
      <c r="L193" s="8"/>
      <c r="M193" s="7" t="s">
        <v>598</v>
      </c>
    </row>
    <row r="194" customFormat="false" ht="15" hidden="false" customHeight="false" outlineLevel="0" collapsed="false">
      <c r="A194" s="7" t="s">
        <v>599</v>
      </c>
      <c r="B194" s="7" t="s">
        <v>586</v>
      </c>
      <c r="C194" s="7" t="s">
        <v>359</v>
      </c>
      <c r="D194" s="7"/>
      <c r="E194" s="8"/>
      <c r="F194" s="8"/>
      <c r="G194" s="8" t="s">
        <v>297</v>
      </c>
      <c r="H194" s="8"/>
      <c r="I194" s="8" t="s">
        <v>32</v>
      </c>
      <c r="J194" s="9"/>
      <c r="K194" s="7"/>
      <c r="L194" s="8"/>
      <c r="M194" s="7" t="s">
        <v>600</v>
      </c>
    </row>
    <row r="195" customFormat="false" ht="23.85" hidden="false" customHeight="false" outlineLevel="0" collapsed="false">
      <c r="A195" s="7" t="s">
        <v>601</v>
      </c>
      <c r="B195" s="7" t="s">
        <v>602</v>
      </c>
      <c r="C195" s="7" t="s">
        <v>603</v>
      </c>
      <c r="D195" s="7" t="s">
        <v>427</v>
      </c>
      <c r="E195" s="8"/>
      <c r="F195" s="8"/>
      <c r="G195" s="8" t="s">
        <v>292</v>
      </c>
      <c r="H195" s="8"/>
      <c r="I195" s="8" t="s">
        <v>32</v>
      </c>
      <c r="J195" s="9"/>
      <c r="K195" s="7"/>
      <c r="L195" s="8"/>
      <c r="M195" s="7" t="s">
        <v>604</v>
      </c>
    </row>
    <row r="196" customFormat="false" ht="23.85" hidden="false" customHeight="false" outlineLevel="0" collapsed="false">
      <c r="A196" s="7" t="s">
        <v>605</v>
      </c>
      <c r="B196" s="7" t="s">
        <v>606</v>
      </c>
      <c r="C196" s="7" t="s">
        <v>607</v>
      </c>
      <c r="D196" s="7" t="s">
        <v>608</v>
      </c>
      <c r="E196" s="8"/>
      <c r="F196" s="8"/>
      <c r="G196" s="8" t="s">
        <v>292</v>
      </c>
      <c r="H196" s="8"/>
      <c r="I196" s="8" t="s">
        <v>32</v>
      </c>
      <c r="J196" s="9"/>
      <c r="K196" s="7"/>
      <c r="L196" s="8"/>
      <c r="M196" s="7" t="s">
        <v>609</v>
      </c>
    </row>
    <row r="197" customFormat="false" ht="23.85" hidden="false" customHeight="false" outlineLevel="0" collapsed="false">
      <c r="A197" s="7" t="s">
        <v>610</v>
      </c>
      <c r="B197" s="7" t="s">
        <v>611</v>
      </c>
      <c r="C197" s="7" t="s">
        <v>612</v>
      </c>
      <c r="D197" s="7" t="s">
        <v>613</v>
      </c>
      <c r="E197" s="8"/>
      <c r="F197" s="8"/>
      <c r="G197" s="8" t="s">
        <v>292</v>
      </c>
      <c r="H197" s="8"/>
      <c r="I197" s="8" t="s">
        <v>32</v>
      </c>
      <c r="J197" s="9"/>
      <c r="K197" s="7"/>
      <c r="L197" s="8"/>
      <c r="M197" s="7" t="s">
        <v>614</v>
      </c>
    </row>
    <row r="198" customFormat="false" ht="15" hidden="false" customHeight="false" outlineLevel="0" collapsed="false">
      <c r="A198" s="7" t="s">
        <v>615</v>
      </c>
      <c r="B198" s="7" t="s">
        <v>616</v>
      </c>
      <c r="C198" s="7" t="s">
        <v>617</v>
      </c>
      <c r="D198" s="7" t="s">
        <v>339</v>
      </c>
      <c r="E198" s="8"/>
      <c r="F198" s="8"/>
      <c r="G198" s="8" t="s">
        <v>618</v>
      </c>
      <c r="H198" s="8"/>
      <c r="I198" s="8" t="s">
        <v>32</v>
      </c>
      <c r="J198" s="9"/>
      <c r="K198" s="7"/>
      <c r="L198" s="8"/>
      <c r="M198" s="7" t="s">
        <v>619</v>
      </c>
    </row>
    <row r="199" customFormat="false" ht="23.85" hidden="false" customHeight="false" outlineLevel="0" collapsed="false">
      <c r="A199" s="7" t="s">
        <v>620</v>
      </c>
      <c r="B199" s="7" t="s">
        <v>621</v>
      </c>
      <c r="C199" s="7" t="s">
        <v>622</v>
      </c>
      <c r="D199" s="7"/>
      <c r="E199" s="8"/>
      <c r="F199" s="8"/>
      <c r="G199" s="8" t="s">
        <v>451</v>
      </c>
      <c r="H199" s="8"/>
      <c r="I199" s="8" t="s">
        <v>32</v>
      </c>
      <c r="J199" s="9"/>
      <c r="K199" s="11" t="s">
        <v>452</v>
      </c>
      <c r="L199" s="8"/>
      <c r="M199" s="7" t="s">
        <v>623</v>
      </c>
    </row>
    <row r="200" customFormat="false" ht="15" hidden="false" customHeight="false" outlineLevel="0" collapsed="false">
      <c r="A200" s="7" t="s">
        <v>624</v>
      </c>
      <c r="B200" s="7" t="s">
        <v>295</v>
      </c>
      <c r="C200" s="7" t="s">
        <v>331</v>
      </c>
      <c r="D200" s="7"/>
      <c r="E200" s="8"/>
      <c r="F200" s="8"/>
      <c r="G200" s="8" t="s">
        <v>297</v>
      </c>
      <c r="H200" s="8"/>
      <c r="I200" s="8" t="s">
        <v>32</v>
      </c>
      <c r="J200" s="9"/>
      <c r="K200" s="7"/>
      <c r="L200" s="8"/>
      <c r="M200" s="7" t="s">
        <v>625</v>
      </c>
    </row>
    <row r="201" customFormat="false" ht="23.85" hidden="false" customHeight="false" outlineLevel="0" collapsed="false">
      <c r="A201" s="7" t="s">
        <v>626</v>
      </c>
      <c r="B201" s="7" t="s">
        <v>295</v>
      </c>
      <c r="C201" s="7" t="s">
        <v>627</v>
      </c>
      <c r="D201" s="7" t="s">
        <v>628</v>
      </c>
      <c r="E201" s="8"/>
      <c r="F201" s="8"/>
      <c r="G201" s="8" t="s">
        <v>292</v>
      </c>
      <c r="H201" s="8"/>
      <c r="I201" s="8" t="s">
        <v>32</v>
      </c>
      <c r="J201" s="9"/>
      <c r="K201" s="7"/>
      <c r="L201" s="8"/>
      <c r="M201" s="7" t="s">
        <v>629</v>
      </c>
    </row>
    <row r="202" customFormat="false" ht="23.85" hidden="false" customHeight="false" outlineLevel="0" collapsed="false">
      <c r="A202" s="7" t="s">
        <v>630</v>
      </c>
      <c r="B202" s="7" t="s">
        <v>295</v>
      </c>
      <c r="C202" s="7" t="s">
        <v>631</v>
      </c>
      <c r="D202" s="7" t="s">
        <v>632</v>
      </c>
      <c r="E202" s="8"/>
      <c r="F202" s="8"/>
      <c r="G202" s="8" t="s">
        <v>633</v>
      </c>
      <c r="H202" s="8"/>
      <c r="I202" s="8" t="s">
        <v>32</v>
      </c>
      <c r="J202" s="9"/>
      <c r="K202" s="7"/>
      <c r="L202" s="8"/>
      <c r="M202" s="7" t="s">
        <v>634</v>
      </c>
    </row>
    <row r="203" customFormat="false" ht="15" hidden="false" customHeight="false" outlineLevel="0" collapsed="false">
      <c r="A203" s="7" t="s">
        <v>635</v>
      </c>
      <c r="B203" s="7" t="s">
        <v>636</v>
      </c>
      <c r="C203" s="7" t="s">
        <v>637</v>
      </c>
      <c r="D203" s="7"/>
      <c r="E203" s="8"/>
      <c r="F203" s="8"/>
      <c r="G203" s="8" t="s">
        <v>297</v>
      </c>
      <c r="H203" s="8"/>
      <c r="I203" s="8" t="s">
        <v>32</v>
      </c>
      <c r="J203" s="9"/>
      <c r="K203" s="7"/>
      <c r="L203" s="8"/>
      <c r="M203" s="7" t="s">
        <v>638</v>
      </c>
    </row>
    <row r="204" customFormat="false" ht="15" hidden="false" customHeight="false" outlineLevel="0" collapsed="false">
      <c r="A204" s="7" t="s">
        <v>639</v>
      </c>
      <c r="B204" s="7" t="s">
        <v>640</v>
      </c>
      <c r="C204" s="7" t="s">
        <v>641</v>
      </c>
      <c r="D204" s="7"/>
      <c r="E204" s="8"/>
      <c r="F204" s="8"/>
      <c r="G204" s="8" t="s">
        <v>297</v>
      </c>
      <c r="H204" s="8"/>
      <c r="I204" s="8" t="s">
        <v>32</v>
      </c>
      <c r="J204" s="9"/>
      <c r="K204" s="7"/>
      <c r="L204" s="8"/>
      <c r="M204" s="7" t="s">
        <v>642</v>
      </c>
    </row>
    <row r="205" customFormat="false" ht="23.85" hidden="false" customHeight="false" outlineLevel="0" collapsed="false">
      <c r="A205" s="7" t="s">
        <v>643</v>
      </c>
      <c r="B205" s="7" t="s">
        <v>295</v>
      </c>
      <c r="C205" s="7" t="s">
        <v>644</v>
      </c>
      <c r="D205" s="7" t="s">
        <v>645</v>
      </c>
      <c r="E205" s="8"/>
      <c r="F205" s="8"/>
      <c r="G205" s="8" t="s">
        <v>292</v>
      </c>
      <c r="H205" s="8"/>
      <c r="I205" s="8" t="s">
        <v>32</v>
      </c>
      <c r="J205" s="9"/>
      <c r="K205" s="7"/>
      <c r="L205" s="8"/>
      <c r="M205" s="7" t="s">
        <v>646</v>
      </c>
    </row>
    <row r="206" customFormat="false" ht="23.85" hidden="false" customHeight="false" outlineLevel="0" collapsed="false">
      <c r="A206" s="7" t="s">
        <v>647</v>
      </c>
      <c r="B206" s="7" t="s">
        <v>648</v>
      </c>
      <c r="C206" s="7" t="s">
        <v>649</v>
      </c>
      <c r="D206" s="7" t="s">
        <v>650</v>
      </c>
      <c r="E206" s="8"/>
      <c r="F206" s="8"/>
      <c r="G206" s="8" t="s">
        <v>292</v>
      </c>
      <c r="H206" s="8"/>
      <c r="I206" s="8" t="s">
        <v>32</v>
      </c>
      <c r="J206" s="9"/>
      <c r="K206" s="7"/>
      <c r="L206" s="8"/>
      <c r="M206" s="7" t="s">
        <v>651</v>
      </c>
    </row>
    <row r="207" customFormat="false" ht="15" hidden="false" customHeight="false" outlineLevel="0" collapsed="false">
      <c r="A207" s="7" t="s">
        <v>652</v>
      </c>
      <c r="B207" s="7" t="s">
        <v>653</v>
      </c>
      <c r="C207" s="7" t="s">
        <v>654</v>
      </c>
      <c r="D207" s="7"/>
      <c r="E207" s="8"/>
      <c r="F207" s="8"/>
      <c r="G207" s="8" t="s">
        <v>297</v>
      </c>
      <c r="H207" s="8"/>
      <c r="I207" s="8" t="s">
        <v>32</v>
      </c>
      <c r="J207" s="9"/>
      <c r="K207" s="11" t="s">
        <v>655</v>
      </c>
      <c r="L207" s="8"/>
      <c r="M207" s="7" t="s">
        <v>656</v>
      </c>
    </row>
    <row r="208" customFormat="false" ht="23.85" hidden="false" customHeight="false" outlineLevel="0" collapsed="false">
      <c r="A208" s="7" t="s">
        <v>657</v>
      </c>
      <c r="B208" s="7" t="s">
        <v>658</v>
      </c>
      <c r="C208" s="7" t="s">
        <v>659</v>
      </c>
      <c r="D208" s="7" t="s">
        <v>660</v>
      </c>
      <c r="E208" s="8"/>
      <c r="F208" s="8"/>
      <c r="G208" s="8" t="s">
        <v>292</v>
      </c>
      <c r="H208" s="8"/>
      <c r="I208" s="8" t="s">
        <v>32</v>
      </c>
      <c r="J208" s="9"/>
      <c r="K208" s="11" t="s">
        <v>661</v>
      </c>
      <c r="L208" s="8"/>
      <c r="M208" s="7" t="s">
        <v>662</v>
      </c>
    </row>
    <row r="209" customFormat="false" ht="35.05" hidden="false" customHeight="false" outlineLevel="0" collapsed="false">
      <c r="A209" s="7" t="s">
        <v>663</v>
      </c>
      <c r="B209" s="7" t="s">
        <v>664</v>
      </c>
      <c r="C209" s="7" t="s">
        <v>665</v>
      </c>
      <c r="D209" s="7" t="s">
        <v>666</v>
      </c>
      <c r="E209" s="8"/>
      <c r="F209" s="8"/>
      <c r="G209" s="8" t="s">
        <v>633</v>
      </c>
      <c r="H209" s="8"/>
      <c r="I209" s="8" t="s">
        <v>32</v>
      </c>
      <c r="J209" s="9"/>
      <c r="K209" s="7"/>
      <c r="L209" s="8"/>
      <c r="M209" s="7" t="s">
        <v>667</v>
      </c>
    </row>
    <row r="210" customFormat="false" ht="23.85" hidden="false" customHeight="false" outlineLevel="0" collapsed="false">
      <c r="A210" s="7" t="s">
        <v>668</v>
      </c>
      <c r="B210" s="7" t="s">
        <v>669</v>
      </c>
      <c r="C210" s="7" t="s">
        <v>670</v>
      </c>
      <c r="D210" s="7" t="s">
        <v>671</v>
      </c>
      <c r="E210" s="8"/>
      <c r="F210" s="8"/>
      <c r="G210" s="8" t="s">
        <v>292</v>
      </c>
      <c r="H210" s="8"/>
      <c r="I210" s="8" t="s">
        <v>32</v>
      </c>
      <c r="J210" s="9"/>
      <c r="K210" s="7"/>
      <c r="L210" s="8"/>
      <c r="M210" s="7" t="s">
        <v>672</v>
      </c>
    </row>
    <row r="211" customFormat="false" ht="23.85" hidden="false" customHeight="false" outlineLevel="0" collapsed="false">
      <c r="A211" s="7" t="s">
        <v>673</v>
      </c>
      <c r="B211" s="7" t="s">
        <v>674</v>
      </c>
      <c r="C211" s="7" t="s">
        <v>675</v>
      </c>
      <c r="D211" s="7"/>
      <c r="E211" s="8"/>
      <c r="F211" s="8"/>
      <c r="G211" s="8" t="s">
        <v>297</v>
      </c>
      <c r="H211" s="8"/>
      <c r="I211" s="8" t="s">
        <v>32</v>
      </c>
      <c r="J211" s="9"/>
      <c r="K211" s="7"/>
      <c r="L211" s="8"/>
      <c r="M211" s="7" t="s">
        <v>676</v>
      </c>
    </row>
    <row r="212" customFormat="false" ht="15" hidden="false" customHeight="false" outlineLevel="0" collapsed="false">
      <c r="A212" s="7" t="s">
        <v>677</v>
      </c>
      <c r="B212" s="7" t="s">
        <v>678</v>
      </c>
      <c r="C212" s="7" t="s">
        <v>679</v>
      </c>
      <c r="D212" s="7"/>
      <c r="E212" s="8"/>
      <c r="F212" s="8"/>
      <c r="G212" s="8" t="s">
        <v>297</v>
      </c>
      <c r="H212" s="8"/>
      <c r="I212" s="8" t="s">
        <v>32</v>
      </c>
      <c r="J212" s="9"/>
      <c r="K212" s="7"/>
      <c r="L212" s="8"/>
      <c r="M212" s="7" t="s">
        <v>680</v>
      </c>
    </row>
    <row r="213" customFormat="false" ht="15" hidden="false" customHeight="false" outlineLevel="0" collapsed="false">
      <c r="A213" s="7" t="s">
        <v>681</v>
      </c>
      <c r="B213" s="7" t="s">
        <v>682</v>
      </c>
      <c r="C213" s="7" t="s">
        <v>683</v>
      </c>
      <c r="D213" s="7"/>
      <c r="E213" s="8"/>
      <c r="F213" s="8"/>
      <c r="G213" s="8" t="s">
        <v>297</v>
      </c>
      <c r="H213" s="8"/>
      <c r="I213" s="8" t="s">
        <v>32</v>
      </c>
      <c r="J213" s="9"/>
      <c r="K213" s="7"/>
      <c r="L213" s="8"/>
      <c r="M213" s="7" t="s">
        <v>684</v>
      </c>
    </row>
    <row r="214" customFormat="false" ht="23.85" hidden="false" customHeight="false" outlineLevel="0" collapsed="false">
      <c r="A214" s="7" t="s">
        <v>685</v>
      </c>
      <c r="B214" s="7" t="s">
        <v>686</v>
      </c>
      <c r="C214" s="7" t="s">
        <v>687</v>
      </c>
      <c r="D214" s="7" t="s">
        <v>688</v>
      </c>
      <c r="E214" s="8"/>
      <c r="F214" s="8"/>
      <c r="G214" s="8" t="s">
        <v>292</v>
      </c>
      <c r="H214" s="8"/>
      <c r="I214" s="8" t="s">
        <v>32</v>
      </c>
      <c r="J214" s="9"/>
      <c r="K214" s="7"/>
      <c r="L214" s="8"/>
      <c r="M214" s="7" t="s">
        <v>689</v>
      </c>
    </row>
    <row r="215" customFormat="false" ht="23.85" hidden="false" customHeight="false" outlineLevel="0" collapsed="false">
      <c r="A215" s="7" t="s">
        <v>690</v>
      </c>
      <c r="B215" s="7" t="s">
        <v>691</v>
      </c>
      <c r="C215" s="7" t="s">
        <v>692</v>
      </c>
      <c r="D215" s="7" t="s">
        <v>291</v>
      </c>
      <c r="E215" s="8"/>
      <c r="F215" s="8"/>
      <c r="G215" s="8" t="s">
        <v>292</v>
      </c>
      <c r="H215" s="8"/>
      <c r="I215" s="8" t="s">
        <v>32</v>
      </c>
      <c r="J215" s="9"/>
      <c r="K215" s="7"/>
      <c r="L215" s="8"/>
      <c r="M215" s="7" t="s">
        <v>693</v>
      </c>
    </row>
    <row r="216" customFormat="false" ht="23.85" hidden="false" customHeight="false" outlineLevel="0" collapsed="false">
      <c r="A216" s="7" t="s">
        <v>694</v>
      </c>
      <c r="B216" s="7" t="s">
        <v>695</v>
      </c>
      <c r="C216" s="7" t="s">
        <v>696</v>
      </c>
      <c r="D216" s="7" t="s">
        <v>339</v>
      </c>
      <c r="E216" s="8"/>
      <c r="F216" s="8"/>
      <c r="G216" s="8" t="s">
        <v>292</v>
      </c>
      <c r="H216" s="8"/>
      <c r="I216" s="8" t="s">
        <v>32</v>
      </c>
      <c r="J216" s="9"/>
      <c r="K216" s="7"/>
      <c r="L216" s="8"/>
      <c r="M216" s="7" t="s">
        <v>697</v>
      </c>
    </row>
    <row r="217" customFormat="false" ht="23.85" hidden="false" customHeight="false" outlineLevel="0" collapsed="false">
      <c r="A217" s="7" t="s">
        <v>698</v>
      </c>
      <c r="B217" s="7" t="s">
        <v>699</v>
      </c>
      <c r="C217" s="7" t="s">
        <v>700</v>
      </c>
      <c r="D217" s="7"/>
      <c r="E217" s="8"/>
      <c r="F217" s="8"/>
      <c r="G217" s="8" t="s">
        <v>618</v>
      </c>
      <c r="H217" s="8"/>
      <c r="I217" s="8" t="s">
        <v>32</v>
      </c>
      <c r="J217" s="9"/>
      <c r="K217" s="7"/>
      <c r="L217" s="8"/>
      <c r="M217" s="7" t="s">
        <v>701</v>
      </c>
    </row>
    <row r="218" customFormat="false" ht="15" hidden="false" customHeight="false" outlineLevel="0" collapsed="false">
      <c r="A218" s="7" t="s">
        <v>702</v>
      </c>
      <c r="B218" s="7" t="s">
        <v>703</v>
      </c>
      <c r="C218" s="7" t="s">
        <v>704</v>
      </c>
      <c r="D218" s="7"/>
      <c r="E218" s="8"/>
      <c r="F218" s="8"/>
      <c r="G218" s="8" t="s">
        <v>618</v>
      </c>
      <c r="H218" s="8"/>
      <c r="I218" s="8" t="s">
        <v>32</v>
      </c>
      <c r="J218" s="9"/>
      <c r="K218" s="7"/>
      <c r="L218" s="8"/>
      <c r="M218" s="7" t="s">
        <v>705</v>
      </c>
    </row>
    <row r="219" customFormat="false" ht="23.85" hidden="false" customHeight="false" outlineLevel="0" collapsed="false">
      <c r="A219" s="7" t="s">
        <v>706</v>
      </c>
      <c r="B219" s="7" t="s">
        <v>707</v>
      </c>
      <c r="C219" s="7" t="s">
        <v>708</v>
      </c>
      <c r="D219" s="7" t="s">
        <v>339</v>
      </c>
      <c r="E219" s="8"/>
      <c r="F219" s="8"/>
      <c r="G219" s="8" t="s">
        <v>292</v>
      </c>
      <c r="H219" s="8"/>
      <c r="I219" s="8" t="s">
        <v>32</v>
      </c>
      <c r="J219" s="9"/>
      <c r="K219" s="7"/>
      <c r="L219" s="8"/>
      <c r="M219" s="7" t="s">
        <v>709</v>
      </c>
    </row>
    <row r="220" customFormat="false" ht="15" hidden="false" customHeight="false" outlineLevel="0" collapsed="false">
      <c r="A220" s="7" t="s">
        <v>710</v>
      </c>
      <c r="B220" s="7" t="s">
        <v>295</v>
      </c>
      <c r="C220" s="7" t="s">
        <v>711</v>
      </c>
      <c r="D220" s="7"/>
      <c r="E220" s="8"/>
      <c r="F220" s="8"/>
      <c r="G220" s="8" t="s">
        <v>297</v>
      </c>
      <c r="H220" s="8"/>
      <c r="I220" s="8" t="s">
        <v>32</v>
      </c>
      <c r="J220" s="9"/>
      <c r="K220" s="7"/>
      <c r="L220" s="8"/>
      <c r="M220" s="7" t="s">
        <v>712</v>
      </c>
    </row>
    <row r="221" customFormat="false" ht="23.85" hidden="false" customHeight="false" outlineLevel="0" collapsed="false">
      <c r="A221" s="7" t="s">
        <v>713</v>
      </c>
      <c r="B221" s="7" t="s">
        <v>714</v>
      </c>
      <c r="C221" s="7" t="s">
        <v>715</v>
      </c>
      <c r="D221" s="7" t="s">
        <v>716</v>
      </c>
      <c r="E221" s="8"/>
      <c r="F221" s="8"/>
      <c r="G221" s="8" t="s">
        <v>292</v>
      </c>
      <c r="H221" s="8"/>
      <c r="I221" s="8" t="s">
        <v>32</v>
      </c>
      <c r="J221" s="9"/>
      <c r="K221" s="7"/>
      <c r="L221" s="8"/>
      <c r="M221" s="7" t="s">
        <v>717</v>
      </c>
    </row>
    <row r="222" customFormat="false" ht="23.85" hidden="false" customHeight="false" outlineLevel="0" collapsed="false">
      <c r="A222" s="7" t="s">
        <v>718</v>
      </c>
      <c r="B222" s="7" t="s">
        <v>719</v>
      </c>
      <c r="C222" s="7" t="s">
        <v>720</v>
      </c>
      <c r="D222" s="7" t="s">
        <v>719</v>
      </c>
      <c r="E222" s="8"/>
      <c r="F222" s="8"/>
      <c r="G222" s="8" t="s">
        <v>292</v>
      </c>
      <c r="H222" s="8"/>
      <c r="I222" s="8" t="s">
        <v>32</v>
      </c>
      <c r="J222" s="9"/>
      <c r="K222" s="7"/>
      <c r="L222" s="8"/>
      <c r="M222" s="7" t="s">
        <v>721</v>
      </c>
    </row>
    <row r="223" customFormat="false" ht="15" hidden="false" customHeight="false" outlineLevel="0" collapsed="false">
      <c r="A223" s="7" t="s">
        <v>722</v>
      </c>
      <c r="B223" s="7" t="s">
        <v>359</v>
      </c>
      <c r="C223" s="7" t="s">
        <v>723</v>
      </c>
      <c r="D223" s="7"/>
      <c r="E223" s="8"/>
      <c r="F223" s="8"/>
      <c r="G223" s="8" t="s">
        <v>297</v>
      </c>
      <c r="H223" s="8"/>
      <c r="I223" s="8" t="s">
        <v>32</v>
      </c>
      <c r="J223" s="9"/>
      <c r="K223" s="7"/>
      <c r="L223" s="8"/>
      <c r="M223" s="7" t="s">
        <v>724</v>
      </c>
    </row>
    <row r="224" customFormat="false" ht="23.85" hidden="false" customHeight="false" outlineLevel="0" collapsed="false">
      <c r="A224" s="7" t="s">
        <v>725</v>
      </c>
      <c r="B224" s="7" t="s">
        <v>726</v>
      </c>
      <c r="C224" s="7" t="s">
        <v>727</v>
      </c>
      <c r="D224" s="7" t="s">
        <v>339</v>
      </c>
      <c r="E224" s="8"/>
      <c r="F224" s="8"/>
      <c r="G224" s="8" t="s">
        <v>292</v>
      </c>
      <c r="H224" s="8"/>
      <c r="I224" s="8" t="s">
        <v>32</v>
      </c>
      <c r="J224" s="9"/>
      <c r="K224" s="7"/>
      <c r="L224" s="8"/>
      <c r="M224" s="7" t="s">
        <v>728</v>
      </c>
    </row>
    <row r="225" customFormat="false" ht="23.85" hidden="false" customHeight="false" outlineLevel="0" collapsed="false">
      <c r="A225" s="7" t="s">
        <v>729</v>
      </c>
      <c r="B225" s="7" t="s">
        <v>730</v>
      </c>
      <c r="C225" s="7" t="s">
        <v>731</v>
      </c>
      <c r="D225" s="7" t="s">
        <v>339</v>
      </c>
      <c r="E225" s="8"/>
      <c r="F225" s="8"/>
      <c r="G225" s="8" t="s">
        <v>292</v>
      </c>
      <c r="H225" s="8"/>
      <c r="I225" s="8" t="s">
        <v>32</v>
      </c>
      <c r="J225" s="9"/>
      <c r="K225" s="7"/>
      <c r="L225" s="8"/>
      <c r="M225" s="7" t="s">
        <v>732</v>
      </c>
    </row>
    <row r="226" customFormat="false" ht="15" hidden="false" customHeight="false" outlineLevel="0" collapsed="false">
      <c r="A226" s="7" t="s">
        <v>733</v>
      </c>
      <c r="B226" s="7" t="s">
        <v>734</v>
      </c>
      <c r="C226" s="7" t="s">
        <v>735</v>
      </c>
      <c r="D226" s="7"/>
      <c r="E226" s="8"/>
      <c r="F226" s="8"/>
      <c r="G226" s="8" t="s">
        <v>297</v>
      </c>
      <c r="H226" s="8"/>
      <c r="I226" s="8" t="s">
        <v>32</v>
      </c>
      <c r="J226" s="9"/>
      <c r="K226" s="7"/>
      <c r="L226" s="8"/>
      <c r="M226" s="7" t="s">
        <v>736</v>
      </c>
    </row>
    <row r="227" customFormat="false" ht="23.85" hidden="false" customHeight="false" outlineLevel="0" collapsed="false">
      <c r="A227" s="7" t="s">
        <v>737</v>
      </c>
      <c r="B227" s="7" t="s">
        <v>738</v>
      </c>
      <c r="C227" s="7" t="s">
        <v>739</v>
      </c>
      <c r="D227" s="7" t="s">
        <v>339</v>
      </c>
      <c r="E227" s="8"/>
      <c r="F227" s="8"/>
      <c r="G227" s="8" t="s">
        <v>292</v>
      </c>
      <c r="H227" s="8"/>
      <c r="I227" s="8" t="s">
        <v>32</v>
      </c>
      <c r="J227" s="9"/>
      <c r="K227" s="7"/>
      <c r="L227" s="8"/>
      <c r="M227" s="7" t="s">
        <v>740</v>
      </c>
    </row>
    <row r="228" customFormat="false" ht="23.85" hidden="false" customHeight="false" outlineLevel="0" collapsed="false">
      <c r="A228" s="7" t="s">
        <v>741</v>
      </c>
      <c r="B228" s="7" t="s">
        <v>742</v>
      </c>
      <c r="C228" s="7" t="s">
        <v>743</v>
      </c>
      <c r="D228" s="7" t="s">
        <v>339</v>
      </c>
      <c r="E228" s="8"/>
      <c r="F228" s="8"/>
      <c r="G228" s="8" t="s">
        <v>292</v>
      </c>
      <c r="H228" s="8"/>
      <c r="I228" s="8" t="s">
        <v>32</v>
      </c>
      <c r="J228" s="9"/>
      <c r="K228" s="7"/>
      <c r="L228" s="8"/>
      <c r="M228" s="7" t="s">
        <v>744</v>
      </c>
    </row>
    <row r="229" customFormat="false" ht="23.85" hidden="false" customHeight="false" outlineLevel="0" collapsed="false">
      <c r="A229" s="7" t="s">
        <v>745</v>
      </c>
      <c r="B229" s="7" t="s">
        <v>746</v>
      </c>
      <c r="C229" s="7" t="s">
        <v>747</v>
      </c>
      <c r="D229" s="7" t="s">
        <v>339</v>
      </c>
      <c r="E229" s="8"/>
      <c r="F229" s="8"/>
      <c r="G229" s="8" t="s">
        <v>292</v>
      </c>
      <c r="H229" s="8"/>
      <c r="I229" s="8" t="s">
        <v>32</v>
      </c>
      <c r="J229" s="9"/>
      <c r="K229" s="7"/>
      <c r="L229" s="8"/>
      <c r="M229" s="7" t="s">
        <v>748</v>
      </c>
    </row>
    <row r="230" customFormat="false" ht="23.85" hidden="false" customHeight="false" outlineLevel="0" collapsed="false">
      <c r="A230" s="7" t="s">
        <v>749</v>
      </c>
      <c r="B230" s="7" t="s">
        <v>750</v>
      </c>
      <c r="C230" s="7" t="s">
        <v>751</v>
      </c>
      <c r="D230" s="7" t="s">
        <v>750</v>
      </c>
      <c r="E230" s="8"/>
      <c r="F230" s="8"/>
      <c r="G230" s="8" t="s">
        <v>292</v>
      </c>
      <c r="H230" s="8"/>
      <c r="I230" s="8" t="s">
        <v>32</v>
      </c>
      <c r="J230" s="9"/>
      <c r="K230" s="7"/>
      <c r="L230" s="8"/>
      <c r="M230" s="7" t="s">
        <v>752</v>
      </c>
    </row>
    <row r="231" customFormat="false" ht="15" hidden="false" customHeight="false" outlineLevel="0" collapsed="false">
      <c r="A231" s="7" t="s">
        <v>753</v>
      </c>
      <c r="B231" s="7" t="s">
        <v>754</v>
      </c>
      <c r="C231" s="7" t="s">
        <v>659</v>
      </c>
      <c r="D231" s="7"/>
      <c r="E231" s="8"/>
      <c r="F231" s="8"/>
      <c r="G231" s="8" t="s">
        <v>297</v>
      </c>
      <c r="H231" s="8"/>
      <c r="I231" s="8" t="s">
        <v>32</v>
      </c>
      <c r="J231" s="9"/>
      <c r="K231" s="7"/>
      <c r="L231" s="8"/>
      <c r="M231" s="7" t="s">
        <v>755</v>
      </c>
    </row>
    <row r="232" customFormat="false" ht="15" hidden="false" customHeight="false" outlineLevel="0" collapsed="false">
      <c r="A232" s="7" t="s">
        <v>756</v>
      </c>
      <c r="B232" s="7" t="s">
        <v>757</v>
      </c>
      <c r="C232" s="7" t="s">
        <v>758</v>
      </c>
      <c r="D232" s="7"/>
      <c r="E232" s="8"/>
      <c r="F232" s="8"/>
      <c r="G232" s="8" t="s">
        <v>297</v>
      </c>
      <c r="H232" s="8"/>
      <c r="I232" s="8" t="s">
        <v>32</v>
      </c>
      <c r="J232" s="9"/>
      <c r="K232" s="7"/>
      <c r="L232" s="8"/>
      <c r="M232" s="7" t="s">
        <v>759</v>
      </c>
    </row>
    <row r="233" customFormat="false" ht="23.85" hidden="false" customHeight="false" outlineLevel="0" collapsed="false">
      <c r="A233" s="7" t="s">
        <v>760</v>
      </c>
      <c r="B233" s="7" t="s">
        <v>761</v>
      </c>
      <c r="C233" s="7" t="s">
        <v>762</v>
      </c>
      <c r="D233" s="7" t="s">
        <v>688</v>
      </c>
      <c r="E233" s="8"/>
      <c r="F233" s="8"/>
      <c r="G233" s="8" t="s">
        <v>292</v>
      </c>
      <c r="H233" s="8"/>
      <c r="I233" s="8" t="s">
        <v>32</v>
      </c>
      <c r="J233" s="9"/>
      <c r="K233" s="7"/>
      <c r="L233" s="8"/>
      <c r="M233" s="7" t="s">
        <v>763</v>
      </c>
    </row>
    <row r="234" customFormat="false" ht="15" hidden="false" customHeight="false" outlineLevel="0" collapsed="false">
      <c r="A234" s="7" t="s">
        <v>764</v>
      </c>
      <c r="B234" s="7" t="s">
        <v>765</v>
      </c>
      <c r="C234" s="7" t="s">
        <v>766</v>
      </c>
      <c r="D234" s="7"/>
      <c r="E234" s="8"/>
      <c r="F234" s="8"/>
      <c r="G234" s="8" t="s">
        <v>297</v>
      </c>
      <c r="H234" s="8"/>
      <c r="I234" s="8" t="s">
        <v>32</v>
      </c>
      <c r="J234" s="9"/>
      <c r="K234" s="7"/>
      <c r="L234" s="8"/>
      <c r="M234" s="7" t="s">
        <v>767</v>
      </c>
    </row>
    <row r="235" customFormat="false" ht="15" hidden="false" customHeight="false" outlineLevel="0" collapsed="false">
      <c r="A235" s="7" t="s">
        <v>768</v>
      </c>
      <c r="B235" s="7" t="s">
        <v>769</v>
      </c>
      <c r="C235" s="7" t="s">
        <v>766</v>
      </c>
      <c r="D235" s="7"/>
      <c r="E235" s="8"/>
      <c r="F235" s="8"/>
      <c r="G235" s="8" t="s">
        <v>297</v>
      </c>
      <c r="H235" s="8"/>
      <c r="I235" s="8" t="s">
        <v>32</v>
      </c>
      <c r="J235" s="9"/>
      <c r="K235" s="7"/>
      <c r="L235" s="8"/>
      <c r="M235" s="7" t="s">
        <v>770</v>
      </c>
    </row>
    <row r="236" customFormat="false" ht="23.85" hidden="false" customHeight="false" outlineLevel="0" collapsed="false">
      <c r="A236" s="7" t="s">
        <v>771</v>
      </c>
      <c r="B236" s="7" t="s">
        <v>772</v>
      </c>
      <c r="C236" s="7" t="s">
        <v>773</v>
      </c>
      <c r="D236" s="7" t="s">
        <v>774</v>
      </c>
      <c r="E236" s="8"/>
      <c r="F236" s="8"/>
      <c r="G236" s="8" t="s">
        <v>292</v>
      </c>
      <c r="H236" s="8"/>
      <c r="I236" s="8" t="s">
        <v>32</v>
      </c>
      <c r="J236" s="9"/>
      <c r="K236" s="7"/>
      <c r="L236" s="8"/>
      <c r="M236" s="7" t="s">
        <v>775</v>
      </c>
    </row>
    <row r="237" customFormat="false" ht="15" hidden="false" customHeight="false" outlineLevel="0" collapsed="false">
      <c r="A237" s="7" t="s">
        <v>776</v>
      </c>
      <c r="B237" s="7" t="s">
        <v>766</v>
      </c>
      <c r="C237" s="7" t="s">
        <v>359</v>
      </c>
      <c r="D237" s="7"/>
      <c r="E237" s="8"/>
      <c r="F237" s="8"/>
      <c r="G237" s="8" t="s">
        <v>297</v>
      </c>
      <c r="H237" s="8"/>
      <c r="I237" s="8" t="s">
        <v>32</v>
      </c>
      <c r="J237" s="9"/>
      <c r="K237" s="7"/>
      <c r="L237" s="8"/>
      <c r="M237" s="7" t="s">
        <v>777</v>
      </c>
    </row>
    <row r="238" customFormat="false" ht="15" hidden="false" customHeight="false" outlineLevel="0" collapsed="false">
      <c r="A238" s="7" t="s">
        <v>778</v>
      </c>
      <c r="B238" s="7" t="s">
        <v>779</v>
      </c>
      <c r="C238" s="7" t="s">
        <v>359</v>
      </c>
      <c r="D238" s="7"/>
      <c r="E238" s="8"/>
      <c r="F238" s="8"/>
      <c r="G238" s="8" t="s">
        <v>297</v>
      </c>
      <c r="H238" s="8"/>
      <c r="I238" s="8" t="s">
        <v>32</v>
      </c>
      <c r="J238" s="9"/>
      <c r="K238" s="7"/>
      <c r="L238" s="8"/>
      <c r="M238" s="7" t="s">
        <v>780</v>
      </c>
    </row>
    <row r="239" customFormat="false" ht="15" hidden="false" customHeight="false" outlineLevel="0" collapsed="false">
      <c r="A239" s="7" t="s">
        <v>781</v>
      </c>
      <c r="B239" s="7" t="s">
        <v>295</v>
      </c>
      <c r="C239" s="7" t="s">
        <v>359</v>
      </c>
      <c r="D239" s="7"/>
      <c r="E239" s="8"/>
      <c r="F239" s="8"/>
      <c r="G239" s="8" t="s">
        <v>297</v>
      </c>
      <c r="H239" s="8"/>
      <c r="I239" s="8" t="s">
        <v>32</v>
      </c>
      <c r="J239" s="9"/>
      <c r="K239" s="7"/>
      <c r="L239" s="8"/>
      <c r="M239" s="7" t="s">
        <v>782</v>
      </c>
    </row>
    <row r="240" customFormat="false" ht="35.05" hidden="false" customHeight="false" outlineLevel="0" collapsed="false">
      <c r="A240" s="7" t="s">
        <v>204</v>
      </c>
      <c r="B240" s="7" t="s">
        <v>783</v>
      </c>
      <c r="C240" s="7" t="s">
        <v>784</v>
      </c>
      <c r="D240" s="7" t="s">
        <v>785</v>
      </c>
      <c r="E240" s="8"/>
      <c r="F240" s="8"/>
      <c r="G240" s="8" t="s">
        <v>292</v>
      </c>
      <c r="H240" s="8"/>
      <c r="I240" s="8" t="s">
        <v>32</v>
      </c>
      <c r="J240" s="9"/>
      <c r="K240" s="11" t="s">
        <v>786</v>
      </c>
      <c r="L240" s="8"/>
      <c r="M240" s="7" t="s">
        <v>787</v>
      </c>
    </row>
    <row r="241" customFormat="false" ht="15" hidden="false" customHeight="false" outlineLevel="0" collapsed="false">
      <c r="A241" s="7" t="s">
        <v>788</v>
      </c>
      <c r="B241" s="7" t="s">
        <v>789</v>
      </c>
      <c r="C241" s="7" t="s">
        <v>790</v>
      </c>
      <c r="D241" s="7"/>
      <c r="E241" s="8"/>
      <c r="F241" s="8"/>
      <c r="G241" s="8" t="s">
        <v>297</v>
      </c>
      <c r="H241" s="8"/>
      <c r="I241" s="8" t="s">
        <v>32</v>
      </c>
      <c r="J241" s="9"/>
      <c r="K241" s="7"/>
      <c r="L241" s="8"/>
      <c r="M241" s="7" t="s">
        <v>791</v>
      </c>
    </row>
    <row r="242" customFormat="false" ht="23.85" hidden="false" customHeight="false" outlineLevel="0" collapsed="false">
      <c r="A242" s="7" t="s">
        <v>792</v>
      </c>
      <c r="B242" s="7" t="s">
        <v>793</v>
      </c>
      <c r="C242" s="7" t="s">
        <v>794</v>
      </c>
      <c r="D242" s="7" t="s">
        <v>795</v>
      </c>
      <c r="E242" s="8"/>
      <c r="F242" s="8"/>
      <c r="G242" s="8" t="s">
        <v>292</v>
      </c>
      <c r="H242" s="8"/>
      <c r="I242" s="8" t="s">
        <v>32</v>
      </c>
      <c r="J242" s="9"/>
      <c r="K242" s="7"/>
      <c r="L242" s="8"/>
      <c r="M242" s="7" t="s">
        <v>796</v>
      </c>
    </row>
    <row r="243" customFormat="false" ht="15" hidden="false" customHeight="false" outlineLevel="0" collapsed="false">
      <c r="A243" s="7" t="s">
        <v>797</v>
      </c>
      <c r="B243" s="7" t="s">
        <v>798</v>
      </c>
      <c r="C243" s="7" t="s">
        <v>799</v>
      </c>
      <c r="D243" s="7"/>
      <c r="E243" s="8"/>
      <c r="F243" s="8"/>
      <c r="G243" s="8" t="s">
        <v>297</v>
      </c>
      <c r="H243" s="8"/>
      <c r="I243" s="8" t="s">
        <v>32</v>
      </c>
      <c r="J243" s="9"/>
      <c r="K243" s="7"/>
      <c r="L243" s="8"/>
      <c r="M243" s="7" t="s">
        <v>800</v>
      </c>
    </row>
    <row r="244" customFormat="false" ht="35.05" hidden="false" customHeight="false" outlineLevel="0" collapsed="false">
      <c r="A244" s="7" t="s">
        <v>801</v>
      </c>
      <c r="B244" s="7" t="s">
        <v>802</v>
      </c>
      <c r="C244" s="7" t="s">
        <v>803</v>
      </c>
      <c r="D244" s="7"/>
      <c r="E244" s="8"/>
      <c r="F244" s="8"/>
      <c r="G244" s="8" t="s">
        <v>451</v>
      </c>
      <c r="H244" s="8"/>
      <c r="I244" s="8" t="s">
        <v>32</v>
      </c>
      <c r="J244" s="9"/>
      <c r="K244" s="11" t="s">
        <v>804</v>
      </c>
      <c r="L244" s="8"/>
      <c r="M244" s="7" t="s">
        <v>805</v>
      </c>
    </row>
    <row r="245" customFormat="false" ht="113.4" hidden="false" customHeight="false" outlineLevel="0" collapsed="false">
      <c r="A245" s="7" t="s">
        <v>806</v>
      </c>
      <c r="B245" s="7" t="s">
        <v>807</v>
      </c>
      <c r="C245" s="7" t="s">
        <v>808</v>
      </c>
      <c r="D245" s="7" t="s">
        <v>809</v>
      </c>
      <c r="E245" s="8"/>
      <c r="F245" s="8"/>
      <c r="G245" s="8" t="s">
        <v>292</v>
      </c>
      <c r="H245" s="8"/>
      <c r="I245" s="8" t="s">
        <v>32</v>
      </c>
      <c r="J245" s="9"/>
      <c r="K245" s="7"/>
      <c r="L245" s="8"/>
      <c r="M245" s="7" t="s">
        <v>810</v>
      </c>
    </row>
    <row r="246" customFormat="false" ht="57.45" hidden="false" customHeight="false" outlineLevel="0" collapsed="false">
      <c r="A246" s="7" t="s">
        <v>159</v>
      </c>
      <c r="B246" s="7" t="s">
        <v>811</v>
      </c>
      <c r="C246" s="7" t="s">
        <v>812</v>
      </c>
      <c r="D246" s="7" t="s">
        <v>813</v>
      </c>
      <c r="E246" s="8"/>
      <c r="F246" s="8"/>
      <c r="G246" s="8" t="s">
        <v>292</v>
      </c>
      <c r="H246" s="8"/>
      <c r="I246" s="8" t="s">
        <v>32</v>
      </c>
      <c r="J246" s="9"/>
      <c r="K246" s="11" t="s">
        <v>814</v>
      </c>
      <c r="L246" s="8"/>
      <c r="M246" s="7" t="s">
        <v>815</v>
      </c>
    </row>
    <row r="247" customFormat="false" ht="46.25" hidden="false" customHeight="false" outlineLevel="0" collapsed="false">
      <c r="A247" s="7" t="s">
        <v>256</v>
      </c>
      <c r="B247" s="7" t="s">
        <v>816</v>
      </c>
      <c r="C247" s="7" t="s">
        <v>817</v>
      </c>
      <c r="D247" s="7" t="s">
        <v>818</v>
      </c>
      <c r="E247" s="8"/>
      <c r="F247" s="8"/>
      <c r="G247" s="8" t="s">
        <v>633</v>
      </c>
      <c r="H247" s="8"/>
      <c r="I247" s="8" t="s">
        <v>32</v>
      </c>
      <c r="J247" s="9"/>
      <c r="K247" s="11" t="s">
        <v>819</v>
      </c>
      <c r="L247" s="8"/>
      <c r="M247" s="7" t="s">
        <v>820</v>
      </c>
    </row>
    <row r="248" customFormat="false" ht="35.05" hidden="false" customHeight="false" outlineLevel="0" collapsed="false">
      <c r="A248" s="7" t="s">
        <v>821</v>
      </c>
      <c r="B248" s="7" t="s">
        <v>822</v>
      </c>
      <c r="C248" s="7" t="s">
        <v>823</v>
      </c>
      <c r="D248" s="7" t="s">
        <v>824</v>
      </c>
      <c r="E248" s="8"/>
      <c r="F248" s="8"/>
      <c r="G248" s="8" t="s">
        <v>292</v>
      </c>
      <c r="H248" s="8"/>
      <c r="I248" s="8" t="s">
        <v>32</v>
      </c>
      <c r="J248" s="9"/>
      <c r="K248" s="7"/>
      <c r="L248" s="8"/>
      <c r="M248" s="7" t="s">
        <v>825</v>
      </c>
    </row>
    <row r="249" customFormat="false" ht="46.25" hidden="false" customHeight="false" outlineLevel="0" collapsed="false">
      <c r="A249" s="7" t="s">
        <v>259</v>
      </c>
      <c r="B249" s="7" t="s">
        <v>826</v>
      </c>
      <c r="C249" s="7" t="s">
        <v>827</v>
      </c>
      <c r="D249" s="7" t="s">
        <v>828</v>
      </c>
      <c r="E249" s="8"/>
      <c r="F249" s="8"/>
      <c r="G249" s="8" t="s">
        <v>292</v>
      </c>
      <c r="H249" s="8"/>
      <c r="I249" s="8" t="s">
        <v>32</v>
      </c>
      <c r="J249" s="9"/>
      <c r="K249" s="11" t="s">
        <v>829</v>
      </c>
      <c r="L249" s="8"/>
      <c r="M249" s="7" t="s">
        <v>830</v>
      </c>
    </row>
    <row r="250" customFormat="false" ht="23.85" hidden="false" customHeight="false" outlineLevel="0" collapsed="false">
      <c r="A250" s="7" t="s">
        <v>831</v>
      </c>
      <c r="B250" s="7" t="s">
        <v>832</v>
      </c>
      <c r="C250" s="7" t="s">
        <v>833</v>
      </c>
      <c r="D250" s="7"/>
      <c r="E250" s="8"/>
      <c r="F250" s="8"/>
      <c r="G250" s="8" t="s">
        <v>451</v>
      </c>
      <c r="H250" s="8"/>
      <c r="I250" s="8" t="s">
        <v>32</v>
      </c>
      <c r="J250" s="9"/>
      <c r="K250" s="11" t="s">
        <v>452</v>
      </c>
      <c r="L250" s="8"/>
      <c r="M250" s="7" t="s">
        <v>834</v>
      </c>
    </row>
    <row r="251" customFormat="false" ht="23.85" hidden="false" customHeight="false" outlineLevel="0" collapsed="false">
      <c r="A251" s="7" t="s">
        <v>835</v>
      </c>
      <c r="B251" s="7" t="s">
        <v>836</v>
      </c>
      <c r="C251" s="7" t="s">
        <v>837</v>
      </c>
      <c r="D251" s="7" t="s">
        <v>838</v>
      </c>
      <c r="E251" s="8"/>
      <c r="F251" s="8"/>
      <c r="G251" s="8" t="s">
        <v>451</v>
      </c>
      <c r="H251" s="8"/>
      <c r="I251" s="8" t="s">
        <v>32</v>
      </c>
      <c r="J251" s="9"/>
      <c r="K251" s="11" t="s">
        <v>452</v>
      </c>
      <c r="L251" s="8"/>
      <c r="M251" s="7" t="s">
        <v>839</v>
      </c>
    </row>
    <row r="252" customFormat="false" ht="79.85" hidden="false" customHeight="false" outlineLevel="0" collapsed="false">
      <c r="A252" s="7" t="s">
        <v>265</v>
      </c>
      <c r="B252" s="7" t="s">
        <v>840</v>
      </c>
      <c r="C252" s="7" t="s">
        <v>841</v>
      </c>
      <c r="D252" s="7" t="s">
        <v>842</v>
      </c>
      <c r="E252" s="8"/>
      <c r="F252" s="8"/>
      <c r="G252" s="8" t="s">
        <v>292</v>
      </c>
      <c r="H252" s="8"/>
      <c r="I252" s="8" t="s">
        <v>32</v>
      </c>
      <c r="J252" s="9"/>
      <c r="K252" s="11" t="s">
        <v>843</v>
      </c>
      <c r="L252" s="8"/>
      <c r="M252" s="7" t="s">
        <v>844</v>
      </c>
    </row>
    <row r="253" customFormat="false" ht="113.4" hidden="false" customHeight="false" outlineLevel="0" collapsed="false">
      <c r="A253" s="7" t="s">
        <v>845</v>
      </c>
      <c r="B253" s="7" t="s">
        <v>846</v>
      </c>
      <c r="C253" s="7" t="s">
        <v>847</v>
      </c>
      <c r="D253" s="7" t="s">
        <v>848</v>
      </c>
      <c r="E253" s="8"/>
      <c r="F253" s="8"/>
      <c r="G253" s="8" t="s">
        <v>292</v>
      </c>
      <c r="H253" s="8"/>
      <c r="I253" s="8" t="s">
        <v>32</v>
      </c>
      <c r="J253" s="9"/>
      <c r="K253" s="7"/>
      <c r="L253" s="8"/>
      <c r="M253" s="7" t="s">
        <v>849</v>
      </c>
    </row>
    <row r="254" customFormat="false" ht="35.05" hidden="false" customHeight="false" outlineLevel="0" collapsed="false">
      <c r="A254" s="7" t="s">
        <v>801</v>
      </c>
      <c r="B254" s="7" t="s">
        <v>850</v>
      </c>
      <c r="C254" s="7" t="s">
        <v>851</v>
      </c>
      <c r="D254" s="7"/>
      <c r="E254" s="8"/>
      <c r="F254" s="8"/>
      <c r="G254" s="8" t="s">
        <v>451</v>
      </c>
      <c r="H254" s="8"/>
      <c r="I254" s="8" t="s">
        <v>32</v>
      </c>
      <c r="J254" s="9"/>
      <c r="K254" s="11" t="s">
        <v>852</v>
      </c>
      <c r="L254" s="8"/>
      <c r="M254" s="7" t="s">
        <v>853</v>
      </c>
    </row>
    <row r="255" customFormat="false" ht="236.55" hidden="false" customHeight="false" outlineLevel="0" collapsed="false">
      <c r="A255" s="7" t="s">
        <v>854</v>
      </c>
      <c r="B255" s="7" t="s">
        <v>855</v>
      </c>
      <c r="C255" s="7" t="s">
        <v>856</v>
      </c>
      <c r="D255" s="7" t="s">
        <v>857</v>
      </c>
      <c r="E255" s="8"/>
      <c r="F255" s="8"/>
      <c r="G255" s="8" t="s">
        <v>633</v>
      </c>
      <c r="H255" s="8"/>
      <c r="I255" s="8" t="s">
        <v>32</v>
      </c>
      <c r="J255" s="9"/>
      <c r="K255" s="11" t="s">
        <v>858</v>
      </c>
      <c r="L255" s="8"/>
      <c r="M255" s="7" t="s">
        <v>859</v>
      </c>
    </row>
    <row r="256" customFormat="false" ht="236.55" hidden="false" customHeight="false" outlineLevel="0" collapsed="false">
      <c r="A256" s="7" t="s">
        <v>262</v>
      </c>
      <c r="B256" s="7" t="s">
        <v>855</v>
      </c>
      <c r="C256" s="7" t="s">
        <v>856</v>
      </c>
      <c r="D256" s="7" t="s">
        <v>857</v>
      </c>
      <c r="E256" s="8"/>
      <c r="F256" s="8"/>
      <c r="G256" s="8" t="s">
        <v>633</v>
      </c>
      <c r="H256" s="8"/>
      <c r="I256" s="8" t="s">
        <v>32</v>
      </c>
      <c r="J256" s="9"/>
      <c r="K256" s="11" t="s">
        <v>860</v>
      </c>
      <c r="L256" s="8"/>
      <c r="M256" s="7" t="s">
        <v>859</v>
      </c>
    </row>
    <row r="257" customFormat="false" ht="35.05" hidden="false" customHeight="false" outlineLevel="0" collapsed="false">
      <c r="A257" s="7" t="s">
        <v>861</v>
      </c>
      <c r="B257" s="7" t="s">
        <v>862</v>
      </c>
      <c r="C257" s="7" t="s">
        <v>863</v>
      </c>
      <c r="D257" s="7" t="s">
        <v>864</v>
      </c>
      <c r="E257" s="8"/>
      <c r="F257" s="8"/>
      <c r="G257" s="8" t="s">
        <v>292</v>
      </c>
      <c r="H257" s="8"/>
      <c r="I257" s="8" t="s">
        <v>32</v>
      </c>
      <c r="J257" s="9"/>
      <c r="K257" s="7"/>
      <c r="L257" s="8"/>
      <c r="M257" s="7" t="s">
        <v>865</v>
      </c>
    </row>
    <row r="258" customFormat="false" ht="23.85" hidden="false" customHeight="false" outlineLevel="0" collapsed="false">
      <c r="A258" s="7" t="s">
        <v>866</v>
      </c>
      <c r="B258" s="7" t="s">
        <v>867</v>
      </c>
      <c r="C258" s="7" t="s">
        <v>868</v>
      </c>
      <c r="D258" s="7" t="s">
        <v>869</v>
      </c>
      <c r="E258" s="8"/>
      <c r="F258" s="8"/>
      <c r="G258" s="8" t="s">
        <v>292</v>
      </c>
      <c r="H258" s="8"/>
      <c r="I258" s="8" t="s">
        <v>32</v>
      </c>
      <c r="J258" s="9"/>
      <c r="K258" s="7"/>
      <c r="L258" s="8"/>
      <c r="M258" s="7" t="s">
        <v>870</v>
      </c>
    </row>
    <row r="259" customFormat="false" ht="147" hidden="false" customHeight="false" outlineLevel="0" collapsed="false">
      <c r="A259" s="7" t="s">
        <v>871</v>
      </c>
      <c r="B259" s="7" t="s">
        <v>872</v>
      </c>
      <c r="C259" s="7" t="s">
        <v>873</v>
      </c>
      <c r="D259" s="7" t="s">
        <v>874</v>
      </c>
      <c r="E259" s="8"/>
      <c r="F259" s="8"/>
      <c r="G259" s="8" t="s">
        <v>633</v>
      </c>
      <c r="H259" s="8"/>
      <c r="I259" s="8" t="s">
        <v>32</v>
      </c>
      <c r="J259" s="9"/>
      <c r="K259" s="7"/>
      <c r="L259" s="8"/>
      <c r="M259" s="7" t="s">
        <v>875</v>
      </c>
    </row>
    <row r="260" customFormat="false" ht="225.35" hidden="false" customHeight="false" outlineLevel="0" collapsed="false">
      <c r="A260" s="7" t="s">
        <v>268</v>
      </c>
      <c r="B260" s="7" t="s">
        <v>876</v>
      </c>
      <c r="C260" s="7" t="s">
        <v>877</v>
      </c>
      <c r="D260" s="7" t="s">
        <v>878</v>
      </c>
      <c r="E260" s="8"/>
      <c r="F260" s="8"/>
      <c r="G260" s="8" t="s">
        <v>633</v>
      </c>
      <c r="H260" s="8"/>
      <c r="I260" s="8" t="s">
        <v>32</v>
      </c>
      <c r="J260" s="9"/>
      <c r="K260" s="11" t="s">
        <v>879</v>
      </c>
      <c r="L260" s="8"/>
      <c r="M260" s="7" t="s">
        <v>880</v>
      </c>
    </row>
    <row r="261" customFormat="false" ht="191.75" hidden="false" customHeight="false" outlineLevel="0" collapsed="false">
      <c r="A261" s="7" t="s">
        <v>270</v>
      </c>
      <c r="B261" s="7" t="s">
        <v>876</v>
      </c>
      <c r="C261" s="7" t="s">
        <v>877</v>
      </c>
      <c r="D261" s="7" t="s">
        <v>878</v>
      </c>
      <c r="E261" s="8"/>
      <c r="F261" s="8"/>
      <c r="G261" s="8" t="s">
        <v>633</v>
      </c>
      <c r="H261" s="8"/>
      <c r="I261" s="8" t="s">
        <v>32</v>
      </c>
      <c r="J261" s="9"/>
      <c r="K261" s="11" t="s">
        <v>881</v>
      </c>
      <c r="L261" s="8"/>
      <c r="M261" s="7" t="s">
        <v>880</v>
      </c>
    </row>
    <row r="262" customFormat="false" ht="202.95" hidden="false" customHeight="false" outlineLevel="0" collapsed="false">
      <c r="A262" s="7" t="s">
        <v>247</v>
      </c>
      <c r="B262" s="7" t="s">
        <v>876</v>
      </c>
      <c r="C262" s="7" t="s">
        <v>877</v>
      </c>
      <c r="D262" s="7" t="s">
        <v>878</v>
      </c>
      <c r="E262" s="8"/>
      <c r="F262" s="8"/>
      <c r="G262" s="8" t="s">
        <v>633</v>
      </c>
      <c r="H262" s="8"/>
      <c r="I262" s="8" t="s">
        <v>32</v>
      </c>
      <c r="J262" s="9"/>
      <c r="K262" s="11" t="s">
        <v>882</v>
      </c>
      <c r="L262" s="8"/>
      <c r="M262" s="7" t="s">
        <v>880</v>
      </c>
    </row>
    <row r="263" customFormat="false" ht="23.85" hidden="false" customHeight="false" outlineLevel="0" collapsed="false">
      <c r="A263" s="7" t="s">
        <v>883</v>
      </c>
      <c r="B263" s="7" t="s">
        <v>884</v>
      </c>
      <c r="C263" s="7" t="s">
        <v>885</v>
      </c>
      <c r="D263" s="7" t="s">
        <v>886</v>
      </c>
      <c r="E263" s="8"/>
      <c r="F263" s="8"/>
      <c r="G263" s="8" t="s">
        <v>292</v>
      </c>
      <c r="H263" s="8"/>
      <c r="I263" s="8" t="s">
        <v>32</v>
      </c>
      <c r="J263" s="9"/>
      <c r="K263" s="7"/>
      <c r="L263" s="8"/>
      <c r="M263" s="7" t="s">
        <v>887</v>
      </c>
    </row>
    <row r="264" customFormat="false" ht="23.85" hidden="false" customHeight="false" outlineLevel="0" collapsed="false">
      <c r="A264" s="7" t="s">
        <v>888</v>
      </c>
      <c r="B264" s="7" t="s">
        <v>850</v>
      </c>
      <c r="C264" s="7" t="s">
        <v>889</v>
      </c>
      <c r="D264" s="7"/>
      <c r="E264" s="8"/>
      <c r="F264" s="8"/>
      <c r="G264" s="8" t="s">
        <v>451</v>
      </c>
      <c r="H264" s="8"/>
      <c r="I264" s="8" t="s">
        <v>32</v>
      </c>
      <c r="J264" s="9"/>
      <c r="K264" s="11" t="s">
        <v>452</v>
      </c>
      <c r="L264" s="8"/>
      <c r="M264" s="7" t="s">
        <v>890</v>
      </c>
    </row>
    <row r="265" customFormat="false" ht="158.2" hidden="false" customHeight="false" outlineLevel="0" collapsed="false">
      <c r="A265" s="7" t="s">
        <v>156</v>
      </c>
      <c r="B265" s="7" t="s">
        <v>891</v>
      </c>
      <c r="C265" s="7" t="s">
        <v>892</v>
      </c>
      <c r="D265" s="7" t="s">
        <v>893</v>
      </c>
      <c r="E265" s="8"/>
      <c r="F265" s="8"/>
      <c r="G265" s="8" t="s">
        <v>633</v>
      </c>
      <c r="H265" s="8"/>
      <c r="I265" s="8" t="s">
        <v>32</v>
      </c>
      <c r="J265" s="9"/>
      <c r="K265" s="11" t="s">
        <v>894</v>
      </c>
      <c r="L265" s="8"/>
      <c r="M265" s="7" t="s">
        <v>895</v>
      </c>
    </row>
    <row r="266" customFormat="false" ht="23.85" hidden="false" customHeight="false" outlineLevel="0" collapsed="false">
      <c r="A266" s="7" t="s">
        <v>896</v>
      </c>
      <c r="B266" s="7" t="s">
        <v>897</v>
      </c>
      <c r="C266" s="7" t="s">
        <v>898</v>
      </c>
      <c r="D266" s="7"/>
      <c r="E266" s="8"/>
      <c r="F266" s="8"/>
      <c r="G266" s="8" t="s">
        <v>451</v>
      </c>
      <c r="H266" s="8"/>
      <c r="I266" s="8" t="s">
        <v>32</v>
      </c>
      <c r="J266" s="9"/>
      <c r="K266" s="11" t="s">
        <v>452</v>
      </c>
      <c r="L266" s="8"/>
      <c r="M266" s="7" t="s">
        <v>899</v>
      </c>
    </row>
    <row r="267" customFormat="false" ht="23.85" hidden="false" customHeight="false" outlineLevel="0" collapsed="false">
      <c r="A267" s="7" t="s">
        <v>900</v>
      </c>
      <c r="B267" s="7" t="s">
        <v>901</v>
      </c>
      <c r="C267" s="7"/>
      <c r="D267" s="7"/>
      <c r="E267" s="8"/>
      <c r="F267" s="8"/>
      <c r="G267" s="8" t="s">
        <v>451</v>
      </c>
      <c r="H267" s="8"/>
      <c r="I267" s="8" t="s">
        <v>32</v>
      </c>
      <c r="J267" s="9"/>
      <c r="K267" s="11" t="s">
        <v>452</v>
      </c>
      <c r="L267" s="8"/>
      <c r="M267" s="7" t="s">
        <v>902</v>
      </c>
    </row>
    <row r="268" customFormat="false" ht="102.2" hidden="false" customHeight="false" outlineLevel="0" collapsed="false">
      <c r="A268" s="7" t="s">
        <v>192</v>
      </c>
      <c r="B268" s="7" t="s">
        <v>903</v>
      </c>
      <c r="C268" s="7" t="s">
        <v>904</v>
      </c>
      <c r="D268" s="7" t="s">
        <v>905</v>
      </c>
      <c r="E268" s="8"/>
      <c r="F268" s="8"/>
      <c r="G268" s="8" t="s">
        <v>633</v>
      </c>
      <c r="H268" s="8"/>
      <c r="I268" s="8" t="s">
        <v>32</v>
      </c>
      <c r="J268" s="9"/>
      <c r="K268" s="11" t="s">
        <v>906</v>
      </c>
      <c r="L268" s="8"/>
      <c r="M268" s="7" t="s">
        <v>907</v>
      </c>
    </row>
    <row r="269" customFormat="false" ht="46.25" hidden="false" customHeight="false" outlineLevel="0" collapsed="false">
      <c r="A269" s="7" t="s">
        <v>908</v>
      </c>
      <c r="B269" s="7" t="s">
        <v>909</v>
      </c>
      <c r="C269" s="7" t="s">
        <v>910</v>
      </c>
      <c r="D269" s="7" t="s">
        <v>911</v>
      </c>
      <c r="E269" s="8"/>
      <c r="F269" s="8"/>
      <c r="G269" s="8" t="s">
        <v>292</v>
      </c>
      <c r="H269" s="8"/>
      <c r="I269" s="8" t="s">
        <v>32</v>
      </c>
      <c r="J269" s="9"/>
      <c r="K269" s="7"/>
      <c r="L269" s="8"/>
      <c r="M269" s="7" t="s">
        <v>912</v>
      </c>
    </row>
    <row r="270" customFormat="false" ht="15" hidden="false" customHeight="false" outlineLevel="0" collapsed="false">
      <c r="A270" s="7" t="s">
        <v>913</v>
      </c>
      <c r="B270" s="7" t="s">
        <v>914</v>
      </c>
      <c r="C270" s="7"/>
      <c r="D270" s="7"/>
      <c r="E270" s="8"/>
      <c r="F270" s="8"/>
      <c r="G270" s="8" t="s">
        <v>297</v>
      </c>
      <c r="H270" s="8"/>
      <c r="I270" s="8" t="s">
        <v>32</v>
      </c>
      <c r="J270" s="9"/>
      <c r="K270" s="11" t="s">
        <v>915</v>
      </c>
      <c r="L270" s="8"/>
      <c r="M270" s="7" t="s">
        <v>916</v>
      </c>
    </row>
    <row r="271" customFormat="false" ht="15" hidden="false" customHeight="false" outlineLevel="0" collapsed="false">
      <c r="A271" s="7" t="s">
        <v>917</v>
      </c>
      <c r="B271" s="7" t="s">
        <v>918</v>
      </c>
      <c r="C271" s="7"/>
      <c r="D271" s="7"/>
      <c r="E271" s="8"/>
      <c r="F271" s="8"/>
      <c r="G271" s="8" t="s">
        <v>297</v>
      </c>
      <c r="H271" s="8"/>
      <c r="I271" s="8" t="s">
        <v>32</v>
      </c>
      <c r="J271" s="9"/>
      <c r="K271" s="11" t="s">
        <v>919</v>
      </c>
      <c r="L271" s="8"/>
      <c r="M271" s="7" t="s">
        <v>920</v>
      </c>
    </row>
    <row r="272" customFormat="false" ht="15" hidden="false" customHeight="false" outlineLevel="0" collapsed="false">
      <c r="A272" s="7" t="s">
        <v>921</v>
      </c>
      <c r="B272" s="7" t="s">
        <v>922</v>
      </c>
      <c r="C272" s="7"/>
      <c r="D272" s="7"/>
      <c r="E272" s="8"/>
      <c r="F272" s="8"/>
      <c r="G272" s="8" t="s">
        <v>297</v>
      </c>
      <c r="H272" s="8"/>
      <c r="I272" s="8" t="s">
        <v>32</v>
      </c>
      <c r="J272" s="9"/>
      <c r="K272" s="11" t="s">
        <v>923</v>
      </c>
      <c r="L272" s="8"/>
      <c r="M272" s="7" t="s">
        <v>924</v>
      </c>
    </row>
    <row r="273" customFormat="false" ht="15" hidden="false" customHeight="false" outlineLevel="0" collapsed="false">
      <c r="A273" s="7" t="s">
        <v>925</v>
      </c>
      <c r="B273" s="7" t="s">
        <v>926</v>
      </c>
      <c r="C273" s="7"/>
      <c r="D273" s="7"/>
      <c r="E273" s="8"/>
      <c r="F273" s="8"/>
      <c r="G273" s="8" t="s">
        <v>297</v>
      </c>
      <c r="H273" s="8"/>
      <c r="I273" s="8" t="s">
        <v>32</v>
      </c>
      <c r="J273" s="9"/>
      <c r="K273" s="11" t="s">
        <v>927</v>
      </c>
      <c r="L273" s="8"/>
      <c r="M273" s="7" t="s">
        <v>928</v>
      </c>
    </row>
    <row r="274" customFormat="false" ht="15" hidden="false" customHeight="false" outlineLevel="0" collapsed="false">
      <c r="A274" s="7" t="s">
        <v>929</v>
      </c>
      <c r="B274" s="7" t="s">
        <v>930</v>
      </c>
      <c r="C274" s="7" t="s">
        <v>931</v>
      </c>
      <c r="D274" s="7"/>
      <c r="E274" s="8"/>
      <c r="F274" s="8"/>
      <c r="G274" s="8" t="s">
        <v>618</v>
      </c>
      <c r="H274" s="8"/>
      <c r="I274" s="8" t="s">
        <v>32</v>
      </c>
      <c r="J274" s="9"/>
      <c r="K274" s="7"/>
      <c r="L274" s="8"/>
      <c r="M274" s="7" t="s">
        <v>932</v>
      </c>
    </row>
    <row r="275" customFormat="false" ht="35.05" hidden="false" customHeight="false" outlineLevel="0" collapsed="false">
      <c r="A275" s="7" t="s">
        <v>933</v>
      </c>
      <c r="B275" s="7" t="s">
        <v>934</v>
      </c>
      <c r="C275" s="7" t="s">
        <v>935</v>
      </c>
      <c r="D275" s="7" t="s">
        <v>936</v>
      </c>
      <c r="E275" s="8"/>
      <c r="F275" s="8"/>
      <c r="G275" s="8" t="s">
        <v>633</v>
      </c>
      <c r="H275" s="8"/>
      <c r="I275" s="8" t="s">
        <v>32</v>
      </c>
      <c r="J275" s="9"/>
      <c r="K275" s="7"/>
      <c r="L275" s="8"/>
      <c r="M275" s="7" t="s">
        <v>937</v>
      </c>
    </row>
    <row r="276" customFormat="false" ht="23.85" hidden="false" customHeight="false" outlineLevel="0" collapsed="false">
      <c r="A276" s="7" t="s">
        <v>938</v>
      </c>
      <c r="B276" s="7" t="s">
        <v>939</v>
      </c>
      <c r="C276" s="7" t="s">
        <v>940</v>
      </c>
      <c r="D276" s="7" t="s">
        <v>941</v>
      </c>
      <c r="E276" s="8"/>
      <c r="F276" s="8"/>
      <c r="G276" s="8" t="s">
        <v>292</v>
      </c>
      <c r="H276" s="8"/>
      <c r="I276" s="8" t="s">
        <v>32</v>
      </c>
      <c r="J276" s="9"/>
      <c r="K276" s="7"/>
      <c r="L276" s="8"/>
      <c r="M276" s="7" t="s">
        <v>942</v>
      </c>
    </row>
    <row r="277" customFormat="false" ht="23.85" hidden="false" customHeight="false" outlineLevel="0" collapsed="false">
      <c r="A277" s="7" t="s">
        <v>943</v>
      </c>
      <c r="B277" s="7" t="s">
        <v>944</v>
      </c>
      <c r="C277" s="7" t="s">
        <v>945</v>
      </c>
      <c r="D277" s="7" t="s">
        <v>946</v>
      </c>
      <c r="E277" s="8"/>
      <c r="F277" s="8"/>
      <c r="G277" s="8" t="s">
        <v>633</v>
      </c>
      <c r="H277" s="8"/>
      <c r="I277" s="8" t="s">
        <v>32</v>
      </c>
      <c r="J277" s="9"/>
      <c r="K277" s="7"/>
      <c r="L277" s="8"/>
      <c r="M277" s="7" t="s">
        <v>947</v>
      </c>
    </row>
    <row r="278" customFormat="false" ht="46.25" hidden="false" customHeight="false" outlineLevel="0" collapsed="false">
      <c r="A278" s="7" t="s">
        <v>948</v>
      </c>
      <c r="B278" s="7" t="s">
        <v>949</v>
      </c>
      <c r="C278" s="7" t="s">
        <v>950</v>
      </c>
      <c r="D278" s="7" t="s">
        <v>946</v>
      </c>
      <c r="E278" s="8"/>
      <c r="F278" s="8"/>
      <c r="G278" s="8" t="s">
        <v>633</v>
      </c>
      <c r="H278" s="8"/>
      <c r="I278" s="8" t="s">
        <v>32</v>
      </c>
      <c r="J278" s="9"/>
      <c r="K278" s="7"/>
      <c r="L278" s="8"/>
      <c r="M278" s="7" t="s">
        <v>951</v>
      </c>
    </row>
    <row r="279" customFormat="false" ht="23.85" hidden="false" customHeight="false" outlineLevel="0" collapsed="false">
      <c r="A279" s="7" t="s">
        <v>952</v>
      </c>
      <c r="B279" s="7" t="s">
        <v>953</v>
      </c>
      <c r="C279" s="7" t="s">
        <v>954</v>
      </c>
      <c r="D279" s="7" t="s">
        <v>955</v>
      </c>
      <c r="E279" s="8"/>
      <c r="F279" s="8"/>
      <c r="G279" s="8" t="s">
        <v>292</v>
      </c>
      <c r="H279" s="8"/>
      <c r="I279" s="8" t="s">
        <v>32</v>
      </c>
      <c r="J279" s="9"/>
      <c r="K279" s="7"/>
      <c r="L279" s="8" t="s">
        <v>956</v>
      </c>
      <c r="M279" s="7" t="s">
        <v>957</v>
      </c>
    </row>
    <row r="280" customFormat="false" ht="23.85" hidden="false" customHeight="false" outlineLevel="0" collapsed="false">
      <c r="A280" s="7" t="s">
        <v>958</v>
      </c>
      <c r="B280" s="7" t="s">
        <v>959</v>
      </c>
      <c r="C280" s="7" t="s">
        <v>960</v>
      </c>
      <c r="D280" s="7" t="s">
        <v>961</v>
      </c>
      <c r="E280" s="8"/>
      <c r="F280" s="8"/>
      <c r="G280" s="8" t="s">
        <v>292</v>
      </c>
      <c r="H280" s="8"/>
      <c r="I280" s="8" t="s">
        <v>32</v>
      </c>
      <c r="J280" s="9"/>
      <c r="K280" s="7"/>
      <c r="L280" s="8"/>
      <c r="M280" s="7" t="s">
        <v>962</v>
      </c>
    </row>
    <row r="281" customFormat="false" ht="23.85" hidden="false" customHeight="false" outlineLevel="0" collapsed="false">
      <c r="A281" s="7" t="s">
        <v>963</v>
      </c>
      <c r="B281" s="7" t="s">
        <v>964</v>
      </c>
      <c r="C281" s="7" t="s">
        <v>965</v>
      </c>
      <c r="D281" s="7" t="s">
        <v>966</v>
      </c>
      <c r="E281" s="8"/>
      <c r="F281" s="8"/>
      <c r="G281" s="8" t="s">
        <v>292</v>
      </c>
      <c r="H281" s="8"/>
      <c r="I281" s="8" t="s">
        <v>32</v>
      </c>
      <c r="J281" s="9"/>
      <c r="K281" s="7"/>
      <c r="L281" s="8"/>
      <c r="M281" s="7" t="s">
        <v>967</v>
      </c>
    </row>
    <row r="282" customFormat="false" ht="23.85" hidden="false" customHeight="false" outlineLevel="0" collapsed="false">
      <c r="A282" s="7" t="s">
        <v>968</v>
      </c>
      <c r="B282" s="7" t="s">
        <v>969</v>
      </c>
      <c r="C282" s="7" t="s">
        <v>970</v>
      </c>
      <c r="D282" s="7" t="s">
        <v>971</v>
      </c>
      <c r="E282" s="8"/>
      <c r="F282" s="8"/>
      <c r="G282" s="8" t="s">
        <v>292</v>
      </c>
      <c r="H282" s="8"/>
      <c r="I282" s="8" t="s">
        <v>32</v>
      </c>
      <c r="J282" s="9"/>
      <c r="K282" s="7"/>
      <c r="L282" s="8"/>
      <c r="M282" s="7" t="s">
        <v>972</v>
      </c>
    </row>
    <row r="283" customFormat="false" ht="23.85" hidden="false" customHeight="false" outlineLevel="0" collapsed="false">
      <c r="A283" s="7" t="s">
        <v>973</v>
      </c>
      <c r="B283" s="7" t="s">
        <v>974</v>
      </c>
      <c r="C283" s="7"/>
      <c r="D283" s="7"/>
      <c r="E283" s="8"/>
      <c r="F283" s="8"/>
      <c r="G283" s="8" t="s">
        <v>451</v>
      </c>
      <c r="H283" s="8"/>
      <c r="I283" s="8" t="s">
        <v>32</v>
      </c>
      <c r="J283" s="9"/>
      <c r="K283" s="11" t="s">
        <v>452</v>
      </c>
      <c r="L283" s="8"/>
      <c r="M283" s="7" t="s">
        <v>975</v>
      </c>
    </row>
    <row r="284" customFormat="false" ht="23.85" hidden="false" customHeight="false" outlineLevel="0" collapsed="false">
      <c r="A284" s="7" t="s">
        <v>976</v>
      </c>
      <c r="B284" s="7" t="s">
        <v>977</v>
      </c>
      <c r="C284" s="7"/>
      <c r="D284" s="7" t="s">
        <v>978</v>
      </c>
      <c r="E284" s="8"/>
      <c r="F284" s="8"/>
      <c r="G284" s="8" t="s">
        <v>451</v>
      </c>
      <c r="H284" s="8"/>
      <c r="I284" s="8" t="s">
        <v>32</v>
      </c>
      <c r="J284" s="9"/>
      <c r="K284" s="11" t="s">
        <v>452</v>
      </c>
      <c r="L284" s="8"/>
      <c r="M284" s="7" t="s">
        <v>979</v>
      </c>
    </row>
    <row r="285" customFormat="false" ht="23.85" hidden="false" customHeight="false" outlineLevel="0" collapsed="false">
      <c r="A285" s="7" t="s">
        <v>980</v>
      </c>
      <c r="B285" s="7" t="s">
        <v>981</v>
      </c>
      <c r="C285" s="7"/>
      <c r="D285" s="7" t="s">
        <v>982</v>
      </c>
      <c r="E285" s="8"/>
      <c r="F285" s="8"/>
      <c r="G285" s="8" t="s">
        <v>292</v>
      </c>
      <c r="H285" s="8"/>
      <c r="I285" s="8" t="s">
        <v>32</v>
      </c>
      <c r="J285" s="9"/>
      <c r="K285" s="7"/>
      <c r="L285" s="8"/>
      <c r="M285" s="7" t="s">
        <v>983</v>
      </c>
    </row>
    <row r="286" customFormat="false" ht="23.85" hidden="false" customHeight="false" outlineLevel="0" collapsed="false">
      <c r="A286" s="7" t="s">
        <v>984</v>
      </c>
      <c r="B286" s="7" t="s">
        <v>985</v>
      </c>
      <c r="C286" s="7"/>
      <c r="D286" s="7" t="s">
        <v>986</v>
      </c>
      <c r="E286" s="8"/>
      <c r="F286" s="8"/>
      <c r="G286" s="8" t="s">
        <v>292</v>
      </c>
      <c r="H286" s="8"/>
      <c r="I286" s="8" t="s">
        <v>32</v>
      </c>
      <c r="J286" s="9"/>
      <c r="K286" s="7"/>
      <c r="L286" s="8"/>
      <c r="M286" s="7" t="s">
        <v>987</v>
      </c>
    </row>
    <row r="287" customFormat="false" ht="23.85" hidden="false" customHeight="false" outlineLevel="0" collapsed="false">
      <c r="A287" s="7" t="s">
        <v>988</v>
      </c>
      <c r="B287" s="7" t="s">
        <v>989</v>
      </c>
      <c r="C287" s="7"/>
      <c r="D287" s="7" t="s">
        <v>982</v>
      </c>
      <c r="E287" s="8"/>
      <c r="F287" s="8"/>
      <c r="G287" s="8" t="s">
        <v>292</v>
      </c>
      <c r="H287" s="8"/>
      <c r="I287" s="8" t="s">
        <v>32</v>
      </c>
      <c r="J287" s="9"/>
      <c r="K287" s="7"/>
      <c r="L287" s="8"/>
      <c r="M287" s="7" t="s">
        <v>990</v>
      </c>
    </row>
    <row r="288" customFormat="false" ht="15" hidden="false" customHeight="false" outlineLevel="0" collapsed="false">
      <c r="A288" s="7" t="s">
        <v>991</v>
      </c>
      <c r="B288" s="7" t="s">
        <v>992</v>
      </c>
      <c r="C288" s="7"/>
      <c r="D288" s="7"/>
      <c r="E288" s="8"/>
      <c r="F288" s="8"/>
      <c r="G288" s="8" t="s">
        <v>297</v>
      </c>
      <c r="H288" s="8"/>
      <c r="I288" s="8" t="s">
        <v>32</v>
      </c>
      <c r="J288" s="9"/>
      <c r="K288" s="7"/>
      <c r="L288" s="8"/>
      <c r="M288" s="7" t="s">
        <v>993</v>
      </c>
    </row>
    <row r="289" customFormat="false" ht="35.05" hidden="false" customHeight="false" outlineLevel="0" collapsed="false">
      <c r="A289" s="7" t="s">
        <v>994</v>
      </c>
      <c r="B289" s="7" t="s">
        <v>995</v>
      </c>
      <c r="C289" s="7" t="s">
        <v>996</v>
      </c>
      <c r="D289" s="7" t="s">
        <v>774</v>
      </c>
      <c r="E289" s="8"/>
      <c r="F289" s="8"/>
      <c r="G289" s="8" t="s">
        <v>292</v>
      </c>
      <c r="H289" s="8"/>
      <c r="I289" s="8" t="s">
        <v>32</v>
      </c>
      <c r="J289" s="9"/>
      <c r="K289" s="7"/>
      <c r="L289" s="8"/>
      <c r="M289" s="7" t="s">
        <v>997</v>
      </c>
    </row>
    <row r="290" customFormat="false" ht="23.85" hidden="false" customHeight="false" outlineLevel="0" collapsed="false">
      <c r="A290" s="7" t="s">
        <v>998</v>
      </c>
      <c r="B290" s="7" t="s">
        <v>999</v>
      </c>
      <c r="C290" s="7" t="s">
        <v>1000</v>
      </c>
      <c r="D290" s="7" t="s">
        <v>774</v>
      </c>
      <c r="E290" s="8"/>
      <c r="F290" s="8"/>
      <c r="G290" s="8" t="s">
        <v>292</v>
      </c>
      <c r="H290" s="8"/>
      <c r="I290" s="8" t="s">
        <v>32</v>
      </c>
      <c r="J290" s="9"/>
      <c r="K290" s="7"/>
      <c r="L290" s="8"/>
      <c r="M290" s="7" t="s">
        <v>1001</v>
      </c>
    </row>
    <row r="291" customFormat="false" ht="35.05" hidden="false" customHeight="false" outlineLevel="0" collapsed="false">
      <c r="A291" s="7" t="s">
        <v>1002</v>
      </c>
      <c r="B291" s="7" t="s">
        <v>1003</v>
      </c>
      <c r="C291" s="7" t="s">
        <v>1004</v>
      </c>
      <c r="D291" s="7" t="s">
        <v>1005</v>
      </c>
      <c r="E291" s="8"/>
      <c r="F291" s="8"/>
      <c r="G291" s="8" t="s">
        <v>633</v>
      </c>
      <c r="H291" s="8"/>
      <c r="I291" s="8" t="s">
        <v>32</v>
      </c>
      <c r="J291" s="9"/>
      <c r="K291" s="7"/>
      <c r="L291" s="8"/>
      <c r="M291" s="7" t="s">
        <v>1006</v>
      </c>
    </row>
    <row r="292" customFormat="false" ht="102.2" hidden="false" customHeight="false" outlineLevel="0" collapsed="false">
      <c r="A292" s="7" t="s">
        <v>913</v>
      </c>
      <c r="B292" s="7" t="s">
        <v>1007</v>
      </c>
      <c r="C292" s="7" t="s">
        <v>1008</v>
      </c>
      <c r="D292" s="7" t="s">
        <v>1009</v>
      </c>
      <c r="E292" s="8"/>
      <c r="F292" s="8"/>
      <c r="G292" s="8" t="s">
        <v>292</v>
      </c>
      <c r="H292" s="8"/>
      <c r="I292" s="8" t="s">
        <v>32</v>
      </c>
      <c r="J292" s="9"/>
      <c r="K292" s="11" t="s">
        <v>1010</v>
      </c>
      <c r="L292" s="8"/>
      <c r="M292" s="7" t="s">
        <v>1011</v>
      </c>
    </row>
    <row r="293" customFormat="false" ht="57.45" hidden="false" customHeight="false" outlineLevel="0" collapsed="false">
      <c r="A293" s="7" t="s">
        <v>917</v>
      </c>
      <c r="B293" s="7" t="s">
        <v>1012</v>
      </c>
      <c r="C293" s="7" t="s">
        <v>1013</v>
      </c>
      <c r="D293" s="7" t="s">
        <v>1014</v>
      </c>
      <c r="E293" s="8"/>
      <c r="F293" s="8"/>
      <c r="G293" s="8" t="s">
        <v>633</v>
      </c>
      <c r="H293" s="8"/>
      <c r="I293" s="8" t="s">
        <v>32</v>
      </c>
      <c r="J293" s="9"/>
      <c r="K293" s="11" t="s">
        <v>1015</v>
      </c>
      <c r="L293" s="8"/>
      <c r="M293" s="7" t="s">
        <v>1016</v>
      </c>
    </row>
    <row r="294" customFormat="false" ht="46.25" hidden="false" customHeight="false" outlineLevel="0" collapsed="false">
      <c r="A294" s="7" t="s">
        <v>921</v>
      </c>
      <c r="B294" s="7" t="s">
        <v>1017</v>
      </c>
      <c r="C294" s="7" t="s">
        <v>1018</v>
      </c>
      <c r="D294" s="7" t="s">
        <v>1019</v>
      </c>
      <c r="E294" s="8"/>
      <c r="F294" s="8"/>
      <c r="G294" s="8" t="s">
        <v>292</v>
      </c>
      <c r="H294" s="8"/>
      <c r="I294" s="8" t="s">
        <v>32</v>
      </c>
      <c r="J294" s="9"/>
      <c r="K294" s="11" t="s">
        <v>1020</v>
      </c>
      <c r="L294" s="8"/>
      <c r="M294" s="7" t="s">
        <v>1021</v>
      </c>
    </row>
    <row r="295" customFormat="false" ht="68.65" hidden="false" customHeight="false" outlineLevel="0" collapsed="false">
      <c r="A295" s="7" t="s">
        <v>925</v>
      </c>
      <c r="B295" s="7" t="s">
        <v>1022</v>
      </c>
      <c r="C295" s="7" t="s">
        <v>1023</v>
      </c>
      <c r="D295" s="7"/>
      <c r="E295" s="8"/>
      <c r="F295" s="8"/>
      <c r="G295" s="8" t="s">
        <v>297</v>
      </c>
      <c r="H295" s="8"/>
      <c r="I295" s="8" t="s">
        <v>32</v>
      </c>
      <c r="J295" s="9"/>
      <c r="K295" s="11" t="s">
        <v>1024</v>
      </c>
      <c r="L295" s="8"/>
      <c r="M295" s="7" t="s">
        <v>1025</v>
      </c>
    </row>
    <row r="296" customFormat="false" ht="23.85" hidden="false" customHeight="false" outlineLevel="0" collapsed="false">
      <c r="A296" s="7" t="s">
        <v>1026</v>
      </c>
      <c r="B296" s="7" t="s">
        <v>1027</v>
      </c>
      <c r="C296" s="7" t="s">
        <v>1028</v>
      </c>
      <c r="D296" s="7" t="s">
        <v>1029</v>
      </c>
      <c r="E296" s="8"/>
      <c r="F296" s="8"/>
      <c r="G296" s="8" t="s">
        <v>292</v>
      </c>
      <c r="H296" s="8"/>
      <c r="I296" s="8" t="s">
        <v>32</v>
      </c>
      <c r="J296" s="9"/>
      <c r="K296" s="7"/>
      <c r="L296" s="8"/>
      <c r="M296" s="7" t="s">
        <v>1030</v>
      </c>
    </row>
    <row r="297" customFormat="false" ht="35.05" hidden="false" customHeight="false" outlineLevel="0" collapsed="false">
      <c r="A297" s="7" t="s">
        <v>1031</v>
      </c>
      <c r="B297" s="7" t="s">
        <v>1032</v>
      </c>
      <c r="C297" s="7" t="s">
        <v>1033</v>
      </c>
      <c r="D297" s="7" t="s">
        <v>1034</v>
      </c>
      <c r="E297" s="8"/>
      <c r="F297" s="8"/>
      <c r="G297" s="8" t="s">
        <v>292</v>
      </c>
      <c r="H297" s="8"/>
      <c r="I297" s="8" t="s">
        <v>32</v>
      </c>
      <c r="J297" s="9"/>
      <c r="K297" s="7"/>
      <c r="L297" s="8"/>
      <c r="M297" s="7" t="s">
        <v>1035</v>
      </c>
    </row>
    <row r="298" customFormat="false" ht="23.85" hidden="false" customHeight="false" outlineLevel="0" collapsed="false">
      <c r="A298" s="7" t="s">
        <v>1036</v>
      </c>
      <c r="B298" s="7" t="s">
        <v>1037</v>
      </c>
      <c r="C298" s="7" t="s">
        <v>1038</v>
      </c>
      <c r="D298" s="7"/>
      <c r="E298" s="8"/>
      <c r="F298" s="8"/>
      <c r="G298" s="8" t="s">
        <v>297</v>
      </c>
      <c r="H298" s="8"/>
      <c r="I298" s="8" t="s">
        <v>32</v>
      </c>
      <c r="J298" s="9"/>
      <c r="K298" s="7"/>
      <c r="L298" s="8"/>
      <c r="M298" s="7" t="s">
        <v>1039</v>
      </c>
    </row>
    <row r="299" customFormat="false" ht="35.05" hidden="false" customHeight="false" outlineLevel="0" collapsed="false">
      <c r="A299" s="7" t="s">
        <v>1040</v>
      </c>
      <c r="B299" s="7" t="s">
        <v>1041</v>
      </c>
      <c r="C299" s="7" t="s">
        <v>1042</v>
      </c>
      <c r="D299" s="7" t="s">
        <v>1043</v>
      </c>
      <c r="E299" s="8"/>
      <c r="F299" s="8"/>
      <c r="G299" s="8" t="s">
        <v>292</v>
      </c>
      <c r="H299" s="8"/>
      <c r="I299" s="8" t="s">
        <v>32</v>
      </c>
      <c r="J299" s="9"/>
      <c r="K299" s="7"/>
      <c r="L299" s="8"/>
      <c r="M299" s="7" t="s">
        <v>1044</v>
      </c>
    </row>
    <row r="300" customFormat="false" ht="281.3" hidden="false" customHeight="false" outlineLevel="0" collapsed="false">
      <c r="A300" s="7"/>
      <c r="B300" s="7" t="s">
        <v>1045</v>
      </c>
      <c r="C300" s="7" t="s">
        <v>1046</v>
      </c>
      <c r="D300" s="7" t="s">
        <v>1047</v>
      </c>
      <c r="E300" s="8"/>
      <c r="F300" s="8"/>
      <c r="G300" s="8" t="s">
        <v>633</v>
      </c>
      <c r="H300" s="8"/>
      <c r="I300" s="8" t="s">
        <v>32</v>
      </c>
      <c r="J300" s="9"/>
      <c r="K300" s="11" t="s">
        <v>1048</v>
      </c>
      <c r="L300" s="8"/>
      <c r="M300" s="7" t="s">
        <v>1049</v>
      </c>
    </row>
    <row r="301" customFormat="false" ht="35.05" hidden="false" customHeight="false" outlineLevel="0" collapsed="false">
      <c r="A301" s="7" t="s">
        <v>1050</v>
      </c>
      <c r="B301" s="7" t="s">
        <v>1051</v>
      </c>
      <c r="C301" s="7" t="s">
        <v>1052</v>
      </c>
      <c r="D301" s="7" t="s">
        <v>1053</v>
      </c>
      <c r="E301" s="8"/>
      <c r="F301" s="8"/>
      <c r="G301" s="8" t="s">
        <v>292</v>
      </c>
      <c r="H301" s="8"/>
      <c r="I301" s="8" t="s">
        <v>32</v>
      </c>
      <c r="J301" s="9"/>
      <c r="K301" s="7"/>
      <c r="L301" s="8"/>
      <c r="M301" s="7" t="s">
        <v>1054</v>
      </c>
    </row>
    <row r="302" customFormat="false" ht="23.85" hidden="false" customHeight="false" outlineLevel="0" collapsed="false">
      <c r="A302" s="7" t="s">
        <v>1055</v>
      </c>
      <c r="B302" s="7" t="s">
        <v>1056</v>
      </c>
      <c r="C302" s="7" t="s">
        <v>1057</v>
      </c>
      <c r="D302" s="7" t="s">
        <v>660</v>
      </c>
      <c r="E302" s="8"/>
      <c r="F302" s="8"/>
      <c r="G302" s="8" t="s">
        <v>292</v>
      </c>
      <c r="H302" s="8"/>
      <c r="I302" s="8" t="s">
        <v>32</v>
      </c>
      <c r="J302" s="9"/>
      <c r="K302" s="7"/>
      <c r="L302" s="8"/>
      <c r="M302" s="7" t="s">
        <v>1058</v>
      </c>
    </row>
    <row r="303" customFormat="false" ht="23.85" hidden="false" customHeight="false" outlineLevel="0" collapsed="false">
      <c r="A303" s="7" t="s">
        <v>1059</v>
      </c>
      <c r="B303" s="7" t="s">
        <v>1060</v>
      </c>
      <c r="C303" s="7" t="s">
        <v>1061</v>
      </c>
      <c r="D303" s="7" t="s">
        <v>1060</v>
      </c>
      <c r="E303" s="8"/>
      <c r="F303" s="8"/>
      <c r="G303" s="8" t="s">
        <v>292</v>
      </c>
      <c r="H303" s="8"/>
      <c r="I303" s="8" t="s">
        <v>32</v>
      </c>
      <c r="J303" s="9"/>
      <c r="K303" s="7"/>
      <c r="L303" s="8"/>
      <c r="M303" s="7" t="s">
        <v>1062</v>
      </c>
    </row>
    <row r="304" customFormat="false" ht="46.25" hidden="false" customHeight="false" outlineLevel="0" collapsed="false">
      <c r="A304" s="7" t="s">
        <v>1063</v>
      </c>
      <c r="B304" s="7" t="s">
        <v>1064</v>
      </c>
      <c r="C304" s="7" t="s">
        <v>1065</v>
      </c>
      <c r="D304" s="7" t="s">
        <v>1066</v>
      </c>
      <c r="E304" s="8"/>
      <c r="F304" s="8"/>
      <c r="G304" s="8" t="s">
        <v>633</v>
      </c>
      <c r="H304" s="8"/>
      <c r="I304" s="8" t="s">
        <v>32</v>
      </c>
      <c r="J304" s="9"/>
      <c r="K304" s="11" t="s">
        <v>1067</v>
      </c>
      <c r="L304" s="8"/>
      <c r="M304" s="7" t="s">
        <v>1068</v>
      </c>
    </row>
    <row r="305" customFormat="false" ht="57.45" hidden="false" customHeight="false" outlineLevel="0" collapsed="false">
      <c r="A305" s="7" t="s">
        <v>1069</v>
      </c>
      <c r="B305" s="7" t="s">
        <v>1070</v>
      </c>
      <c r="C305" s="7" t="s">
        <v>1071</v>
      </c>
      <c r="D305" s="7" t="s">
        <v>1072</v>
      </c>
      <c r="E305" s="8"/>
      <c r="F305" s="8"/>
      <c r="G305" s="8" t="s">
        <v>633</v>
      </c>
      <c r="H305" s="8"/>
      <c r="I305" s="8" t="s">
        <v>32</v>
      </c>
      <c r="J305" s="9"/>
      <c r="K305" s="7"/>
      <c r="L305" s="8"/>
      <c r="M305" s="7" t="s">
        <v>1073</v>
      </c>
    </row>
    <row r="306" customFormat="false" ht="46.25" hidden="false" customHeight="false" outlineLevel="0" collapsed="false">
      <c r="A306" s="7" t="s">
        <v>1074</v>
      </c>
      <c r="B306" s="7" t="s">
        <v>504</v>
      </c>
      <c r="C306" s="7" t="s">
        <v>1075</v>
      </c>
      <c r="D306" s="7" t="s">
        <v>1076</v>
      </c>
      <c r="E306" s="8"/>
      <c r="F306" s="8"/>
      <c r="G306" s="8" t="s">
        <v>292</v>
      </c>
      <c r="H306" s="8"/>
      <c r="I306" s="8" t="s">
        <v>32</v>
      </c>
      <c r="J306" s="9"/>
      <c r="K306" s="7"/>
      <c r="L306" s="8"/>
      <c r="M306" s="7" t="s">
        <v>1077</v>
      </c>
    </row>
    <row r="307" customFormat="false" ht="46.25" hidden="false" customHeight="false" outlineLevel="0" collapsed="false">
      <c r="A307" s="7" t="s">
        <v>1078</v>
      </c>
      <c r="B307" s="7" t="s">
        <v>1079</v>
      </c>
      <c r="C307" s="7" t="s">
        <v>1080</v>
      </c>
      <c r="D307" s="7" t="s">
        <v>1079</v>
      </c>
      <c r="E307" s="8"/>
      <c r="F307" s="8"/>
      <c r="G307" s="8" t="s">
        <v>292</v>
      </c>
      <c r="H307" s="8"/>
      <c r="I307" s="8" t="s">
        <v>32</v>
      </c>
      <c r="J307" s="9"/>
      <c r="K307" s="7"/>
      <c r="L307" s="8"/>
      <c r="M307" s="7" t="s">
        <v>1081</v>
      </c>
    </row>
    <row r="308" customFormat="false" ht="46.25" hidden="false" customHeight="false" outlineLevel="0" collapsed="false">
      <c r="A308" s="7" t="s">
        <v>1082</v>
      </c>
      <c r="B308" s="7" t="s">
        <v>1079</v>
      </c>
      <c r="C308" s="7" t="s">
        <v>1083</v>
      </c>
      <c r="D308" s="7" t="s">
        <v>1079</v>
      </c>
      <c r="E308" s="8"/>
      <c r="F308" s="8"/>
      <c r="G308" s="8" t="s">
        <v>292</v>
      </c>
      <c r="H308" s="8"/>
      <c r="I308" s="8" t="s">
        <v>32</v>
      </c>
      <c r="J308" s="9"/>
      <c r="K308" s="7"/>
      <c r="L308" s="8"/>
      <c r="M308" s="7" t="s">
        <v>1084</v>
      </c>
    </row>
    <row r="309" customFormat="false" ht="23.85" hidden="false" customHeight="false" outlineLevel="0" collapsed="false">
      <c r="A309" s="7" t="s">
        <v>1085</v>
      </c>
      <c r="B309" s="7" t="s">
        <v>1079</v>
      </c>
      <c r="C309" s="7" t="s">
        <v>1086</v>
      </c>
      <c r="D309" s="7" t="s">
        <v>1079</v>
      </c>
      <c r="E309" s="8"/>
      <c r="F309" s="8"/>
      <c r="G309" s="8" t="s">
        <v>292</v>
      </c>
      <c r="H309" s="8"/>
      <c r="I309" s="8" t="s">
        <v>32</v>
      </c>
      <c r="J309" s="9"/>
      <c r="K309" s="7"/>
      <c r="L309" s="8"/>
      <c r="M309" s="7" t="s">
        <v>1087</v>
      </c>
    </row>
    <row r="310" customFormat="false" ht="35.05" hidden="false" customHeight="false" outlineLevel="0" collapsed="false">
      <c r="A310" s="7" t="s">
        <v>1088</v>
      </c>
      <c r="B310" s="7" t="s">
        <v>1079</v>
      </c>
      <c r="C310" s="7" t="s">
        <v>1089</v>
      </c>
      <c r="D310" s="7" t="s">
        <v>1079</v>
      </c>
      <c r="E310" s="8"/>
      <c r="F310" s="8"/>
      <c r="G310" s="8" t="s">
        <v>292</v>
      </c>
      <c r="H310" s="8"/>
      <c r="I310" s="8" t="s">
        <v>32</v>
      </c>
      <c r="J310" s="9"/>
      <c r="K310" s="7"/>
      <c r="L310" s="8"/>
      <c r="M310" s="7" t="s">
        <v>1090</v>
      </c>
    </row>
    <row r="311" customFormat="false" ht="23.85" hidden="false" customHeight="false" outlineLevel="0" collapsed="false">
      <c r="A311" s="7" t="s">
        <v>1091</v>
      </c>
      <c r="B311" s="7" t="s">
        <v>1092</v>
      </c>
      <c r="C311" s="7" t="s">
        <v>1093</v>
      </c>
      <c r="D311" s="7" t="s">
        <v>1094</v>
      </c>
      <c r="E311" s="8"/>
      <c r="F311" s="8"/>
      <c r="G311" s="8" t="s">
        <v>633</v>
      </c>
      <c r="H311" s="8"/>
      <c r="I311" s="8" t="s">
        <v>32</v>
      </c>
      <c r="J311" s="9"/>
      <c r="K311" s="7"/>
      <c r="L311" s="8"/>
      <c r="M311" s="7" t="s">
        <v>1095</v>
      </c>
    </row>
    <row r="312" customFormat="false" ht="23.85" hidden="false" customHeight="false" outlineLevel="0" collapsed="false">
      <c r="A312" s="7" t="s">
        <v>1096</v>
      </c>
      <c r="B312" s="7" t="s">
        <v>1079</v>
      </c>
      <c r="C312" s="7" t="s">
        <v>1097</v>
      </c>
      <c r="D312" s="7" t="s">
        <v>1079</v>
      </c>
      <c r="E312" s="8"/>
      <c r="F312" s="8"/>
      <c r="G312" s="8" t="s">
        <v>292</v>
      </c>
      <c r="H312" s="8"/>
      <c r="I312" s="8" t="s">
        <v>32</v>
      </c>
      <c r="J312" s="9"/>
      <c r="K312" s="7"/>
      <c r="L312" s="8"/>
      <c r="M312" s="7" t="s">
        <v>1098</v>
      </c>
    </row>
    <row r="313" customFormat="false" ht="23.85" hidden="false" customHeight="false" outlineLevel="0" collapsed="false">
      <c r="A313" s="7" t="s">
        <v>1099</v>
      </c>
      <c r="B313" s="7" t="s">
        <v>1100</v>
      </c>
      <c r="C313" s="7" t="s">
        <v>1101</v>
      </c>
      <c r="D313" s="7" t="s">
        <v>1100</v>
      </c>
      <c r="E313" s="8"/>
      <c r="F313" s="8"/>
      <c r="G313" s="8" t="s">
        <v>292</v>
      </c>
      <c r="H313" s="8"/>
      <c r="I313" s="8" t="s">
        <v>32</v>
      </c>
      <c r="J313" s="9"/>
      <c r="K313" s="7"/>
      <c r="L313" s="8"/>
      <c r="M313" s="7" t="s">
        <v>1102</v>
      </c>
    </row>
    <row r="314" customFormat="false" ht="23.85" hidden="false" customHeight="false" outlineLevel="0" collapsed="false">
      <c r="A314" s="7" t="s">
        <v>1103</v>
      </c>
      <c r="B314" s="7" t="s">
        <v>1092</v>
      </c>
      <c r="C314" s="7" t="s">
        <v>1104</v>
      </c>
      <c r="D314" s="7" t="s">
        <v>1105</v>
      </c>
      <c r="E314" s="8"/>
      <c r="F314" s="8"/>
      <c r="G314" s="8" t="s">
        <v>292</v>
      </c>
      <c r="H314" s="8"/>
      <c r="I314" s="8" t="s">
        <v>32</v>
      </c>
      <c r="J314" s="9"/>
      <c r="K314" s="7"/>
      <c r="L314" s="8"/>
      <c r="M314" s="7" t="s">
        <v>1106</v>
      </c>
    </row>
    <row r="315" customFormat="false" ht="23.85" hidden="false" customHeight="false" outlineLevel="0" collapsed="false">
      <c r="A315" s="7" t="s">
        <v>1107</v>
      </c>
      <c r="B315" s="7" t="s">
        <v>1108</v>
      </c>
      <c r="C315" s="7" t="s">
        <v>1109</v>
      </c>
      <c r="D315" s="7" t="s">
        <v>1110</v>
      </c>
      <c r="E315" s="8"/>
      <c r="F315" s="8"/>
      <c r="G315" s="8" t="s">
        <v>292</v>
      </c>
      <c r="H315" s="8"/>
      <c r="I315" s="8" t="s">
        <v>32</v>
      </c>
      <c r="J315" s="9"/>
      <c r="K315" s="7"/>
      <c r="L315" s="8"/>
      <c r="M315" s="7" t="s">
        <v>1111</v>
      </c>
    </row>
    <row r="316" customFormat="false" ht="23.85" hidden="false" customHeight="false" outlineLevel="0" collapsed="false">
      <c r="A316" s="7" t="s">
        <v>1112</v>
      </c>
      <c r="B316" s="7" t="s">
        <v>1108</v>
      </c>
      <c r="C316" s="7" t="s">
        <v>1113</v>
      </c>
      <c r="D316" s="7" t="s">
        <v>1110</v>
      </c>
      <c r="E316" s="8"/>
      <c r="F316" s="8"/>
      <c r="G316" s="8" t="s">
        <v>292</v>
      </c>
      <c r="H316" s="8"/>
      <c r="I316" s="8" t="s">
        <v>32</v>
      </c>
      <c r="J316" s="9"/>
      <c r="K316" s="7"/>
      <c r="L316" s="8"/>
      <c r="M316" s="7" t="s">
        <v>1114</v>
      </c>
    </row>
    <row r="317" customFormat="false" ht="35.05" hidden="false" customHeight="false" outlineLevel="0" collapsed="false">
      <c r="A317" s="7" t="s">
        <v>1115</v>
      </c>
      <c r="B317" s="7" t="s">
        <v>660</v>
      </c>
      <c r="C317" s="7" t="s">
        <v>1116</v>
      </c>
      <c r="D317" s="7" t="s">
        <v>660</v>
      </c>
      <c r="E317" s="8"/>
      <c r="F317" s="8"/>
      <c r="G317" s="8" t="s">
        <v>292</v>
      </c>
      <c r="H317" s="8"/>
      <c r="I317" s="8" t="s">
        <v>32</v>
      </c>
      <c r="J317" s="9"/>
      <c r="K317" s="7"/>
      <c r="L317" s="8"/>
      <c r="M317" s="7" t="s">
        <v>1117</v>
      </c>
    </row>
    <row r="318" customFormat="false" ht="35.05" hidden="false" customHeight="false" outlineLevel="0" collapsed="false">
      <c r="A318" s="7" t="s">
        <v>652</v>
      </c>
      <c r="B318" s="7" t="s">
        <v>1118</v>
      </c>
      <c r="C318" s="7" t="s">
        <v>1119</v>
      </c>
      <c r="D318" s="7" t="s">
        <v>1120</v>
      </c>
      <c r="E318" s="8"/>
      <c r="F318" s="8"/>
      <c r="G318" s="8" t="s">
        <v>292</v>
      </c>
      <c r="H318" s="8"/>
      <c r="I318" s="8" t="s">
        <v>32</v>
      </c>
      <c r="J318" s="9"/>
      <c r="K318" s="11" t="s">
        <v>1121</v>
      </c>
      <c r="L318" s="8"/>
      <c r="M318" s="7" t="s">
        <v>1122</v>
      </c>
    </row>
    <row r="319" customFormat="false" ht="23.85" hidden="false" customHeight="false" outlineLevel="0" collapsed="false">
      <c r="A319" s="7" t="s">
        <v>1123</v>
      </c>
      <c r="B319" s="7" t="s">
        <v>1110</v>
      </c>
      <c r="C319" s="7" t="s">
        <v>1124</v>
      </c>
      <c r="D319" s="7" t="s">
        <v>1110</v>
      </c>
      <c r="E319" s="8"/>
      <c r="F319" s="8"/>
      <c r="G319" s="8" t="s">
        <v>292</v>
      </c>
      <c r="H319" s="8"/>
      <c r="I319" s="8" t="s">
        <v>32</v>
      </c>
      <c r="J319" s="9"/>
      <c r="K319" s="7"/>
      <c r="L319" s="8"/>
      <c r="M319" s="7" t="s">
        <v>1125</v>
      </c>
    </row>
    <row r="320" customFormat="false" ht="23.85" hidden="false" customHeight="false" outlineLevel="0" collapsed="false">
      <c r="A320" s="7" t="s">
        <v>1126</v>
      </c>
      <c r="B320" s="7" t="s">
        <v>1127</v>
      </c>
      <c r="C320" s="7"/>
      <c r="D320" s="7"/>
      <c r="E320" s="8"/>
      <c r="F320" s="8"/>
      <c r="G320" s="8" t="s">
        <v>297</v>
      </c>
      <c r="H320" s="8"/>
      <c r="I320" s="8" t="s">
        <v>32</v>
      </c>
      <c r="J320" s="9"/>
      <c r="K320" s="7"/>
      <c r="L320" s="8"/>
      <c r="M320" s="7" t="s">
        <v>1128</v>
      </c>
    </row>
    <row r="321" customFormat="false" ht="23.85" hidden="false" customHeight="false" outlineLevel="0" collapsed="false">
      <c r="A321" s="7" t="s">
        <v>1129</v>
      </c>
      <c r="B321" s="7" t="s">
        <v>1127</v>
      </c>
      <c r="C321" s="7" t="s">
        <v>1130</v>
      </c>
      <c r="D321" s="7" t="s">
        <v>1131</v>
      </c>
      <c r="E321" s="8"/>
      <c r="F321" s="8"/>
      <c r="G321" s="8" t="s">
        <v>292</v>
      </c>
      <c r="H321" s="8"/>
      <c r="I321" s="8" t="s">
        <v>32</v>
      </c>
      <c r="J321" s="9"/>
      <c r="K321" s="7"/>
      <c r="L321" s="8"/>
      <c r="M321" s="7" t="s">
        <v>1132</v>
      </c>
    </row>
    <row r="322" customFormat="false" ht="35.05" hidden="false" customHeight="false" outlineLevel="0" collapsed="false">
      <c r="A322" s="7" t="s">
        <v>657</v>
      </c>
      <c r="B322" s="7" t="s">
        <v>1133</v>
      </c>
      <c r="C322" s="7" t="s">
        <v>1134</v>
      </c>
      <c r="D322" s="7" t="s">
        <v>1135</v>
      </c>
      <c r="E322" s="8"/>
      <c r="F322" s="8"/>
      <c r="G322" s="8" t="s">
        <v>633</v>
      </c>
      <c r="H322" s="8"/>
      <c r="I322" s="8" t="s">
        <v>32</v>
      </c>
      <c r="J322" s="9"/>
      <c r="K322" s="11" t="s">
        <v>1136</v>
      </c>
      <c r="L322" s="8"/>
      <c r="M322" s="7" t="s">
        <v>1137</v>
      </c>
    </row>
    <row r="323" customFormat="false" ht="46.25" hidden="false" customHeight="false" outlineLevel="0" collapsed="false">
      <c r="A323" s="7" t="s">
        <v>1138</v>
      </c>
      <c r="B323" s="7" t="s">
        <v>1133</v>
      </c>
      <c r="C323" s="7" t="s">
        <v>1139</v>
      </c>
      <c r="D323" s="7" t="s">
        <v>1140</v>
      </c>
      <c r="E323" s="8"/>
      <c r="F323" s="8"/>
      <c r="G323" s="8" t="s">
        <v>633</v>
      </c>
      <c r="H323" s="8"/>
      <c r="I323" s="8" t="s">
        <v>32</v>
      </c>
      <c r="J323" s="9"/>
      <c r="K323" s="7"/>
      <c r="L323" s="8"/>
      <c r="M323" s="7" t="s">
        <v>1141</v>
      </c>
    </row>
    <row r="324" customFormat="false" ht="23.85" hidden="false" customHeight="false" outlineLevel="0" collapsed="false">
      <c r="A324" s="7" t="s">
        <v>1142</v>
      </c>
      <c r="B324" s="7" t="s">
        <v>1110</v>
      </c>
      <c r="C324" s="7" t="s">
        <v>1113</v>
      </c>
      <c r="D324" s="7" t="s">
        <v>1110</v>
      </c>
      <c r="E324" s="8"/>
      <c r="F324" s="8"/>
      <c r="G324" s="8" t="s">
        <v>292</v>
      </c>
      <c r="H324" s="8"/>
      <c r="I324" s="8" t="s">
        <v>32</v>
      </c>
      <c r="J324" s="9"/>
      <c r="K324" s="7"/>
      <c r="L324" s="8"/>
      <c r="M324" s="7" t="s">
        <v>1143</v>
      </c>
    </row>
    <row r="325" customFormat="false" ht="35.05" hidden="false" customHeight="false" outlineLevel="0" collapsed="false">
      <c r="A325" s="7" t="s">
        <v>1144</v>
      </c>
      <c r="B325" s="7" t="s">
        <v>1133</v>
      </c>
      <c r="C325" s="7" t="s">
        <v>1145</v>
      </c>
      <c r="D325" s="7" t="s">
        <v>1146</v>
      </c>
      <c r="E325" s="8"/>
      <c r="F325" s="8"/>
      <c r="G325" s="8" t="s">
        <v>633</v>
      </c>
      <c r="H325" s="8"/>
      <c r="I325" s="8" t="s">
        <v>32</v>
      </c>
      <c r="J325" s="9"/>
      <c r="K325" s="7"/>
      <c r="L325" s="8"/>
      <c r="M325" s="7" t="s">
        <v>1147</v>
      </c>
    </row>
    <row r="326" customFormat="false" ht="23.85" hidden="false" customHeight="false" outlineLevel="0" collapsed="false">
      <c r="A326" s="7" t="s">
        <v>1148</v>
      </c>
      <c r="B326" s="7" t="s">
        <v>1133</v>
      </c>
      <c r="C326" s="7" t="s">
        <v>1149</v>
      </c>
      <c r="D326" s="7" t="s">
        <v>1150</v>
      </c>
      <c r="E326" s="8"/>
      <c r="F326" s="8"/>
      <c r="G326" s="8" t="s">
        <v>633</v>
      </c>
      <c r="H326" s="8"/>
      <c r="I326" s="8" t="s">
        <v>32</v>
      </c>
      <c r="J326" s="9"/>
      <c r="K326" s="7"/>
      <c r="L326" s="8"/>
      <c r="M326" s="7" t="s">
        <v>1151</v>
      </c>
    </row>
    <row r="327" customFormat="false" ht="23.85" hidden="false" customHeight="false" outlineLevel="0" collapsed="false">
      <c r="A327" s="7" t="s">
        <v>1152</v>
      </c>
      <c r="B327" s="7" t="s">
        <v>1133</v>
      </c>
      <c r="C327" s="7" t="s">
        <v>1153</v>
      </c>
      <c r="D327" s="7" t="s">
        <v>1154</v>
      </c>
      <c r="E327" s="8"/>
      <c r="F327" s="8"/>
      <c r="G327" s="8" t="s">
        <v>633</v>
      </c>
      <c r="H327" s="8"/>
      <c r="I327" s="8" t="s">
        <v>32</v>
      </c>
      <c r="J327" s="9"/>
      <c r="K327" s="7"/>
      <c r="L327" s="8"/>
      <c r="M327" s="7" t="s">
        <v>1155</v>
      </c>
    </row>
    <row r="328" customFormat="false" ht="35.05" hidden="false" customHeight="false" outlineLevel="0" collapsed="false">
      <c r="A328" s="7" t="s">
        <v>1156</v>
      </c>
      <c r="B328" s="7" t="s">
        <v>1133</v>
      </c>
      <c r="C328" s="7" t="s">
        <v>1157</v>
      </c>
      <c r="D328" s="7" t="s">
        <v>1158</v>
      </c>
      <c r="E328" s="8"/>
      <c r="F328" s="8"/>
      <c r="G328" s="8" t="s">
        <v>633</v>
      </c>
      <c r="H328" s="8"/>
      <c r="I328" s="8" t="s">
        <v>32</v>
      </c>
      <c r="J328" s="9"/>
      <c r="K328" s="7"/>
      <c r="L328" s="8"/>
      <c r="M328" s="7" t="s">
        <v>1159</v>
      </c>
    </row>
    <row r="329" customFormat="false" ht="23.85" hidden="false" customHeight="false" outlineLevel="0" collapsed="false">
      <c r="A329" s="7" t="s">
        <v>1160</v>
      </c>
      <c r="B329" s="7" t="s">
        <v>1133</v>
      </c>
      <c r="C329" s="7" t="s">
        <v>1161</v>
      </c>
      <c r="D329" s="7" t="s">
        <v>1162</v>
      </c>
      <c r="E329" s="8"/>
      <c r="F329" s="8"/>
      <c r="G329" s="8" t="s">
        <v>633</v>
      </c>
      <c r="H329" s="8"/>
      <c r="I329" s="8" t="s">
        <v>32</v>
      </c>
      <c r="J329" s="9"/>
      <c r="K329" s="7"/>
      <c r="L329" s="8"/>
      <c r="M329" s="7" t="s">
        <v>1163</v>
      </c>
    </row>
    <row r="330" customFormat="false" ht="35.05" hidden="false" customHeight="false" outlineLevel="0" collapsed="false">
      <c r="A330" s="7" t="s">
        <v>1164</v>
      </c>
      <c r="B330" s="7" t="s">
        <v>1133</v>
      </c>
      <c r="C330" s="7" t="s">
        <v>1165</v>
      </c>
      <c r="D330" s="7" t="s">
        <v>1166</v>
      </c>
      <c r="E330" s="8"/>
      <c r="F330" s="8"/>
      <c r="G330" s="8" t="s">
        <v>633</v>
      </c>
      <c r="H330" s="8"/>
      <c r="I330" s="8" t="s">
        <v>32</v>
      </c>
      <c r="J330" s="9"/>
      <c r="K330" s="7"/>
      <c r="L330" s="8"/>
      <c r="M330" s="7" t="s">
        <v>1167</v>
      </c>
    </row>
    <row r="331" customFormat="false" ht="79.85" hidden="false" customHeight="false" outlineLevel="0" collapsed="false">
      <c r="A331" s="7" t="s">
        <v>1168</v>
      </c>
      <c r="B331" s="7" t="s">
        <v>1133</v>
      </c>
      <c r="C331" s="7" t="s">
        <v>1169</v>
      </c>
      <c r="D331" s="7" t="s">
        <v>1170</v>
      </c>
      <c r="E331" s="8"/>
      <c r="F331" s="8"/>
      <c r="G331" s="8" t="s">
        <v>633</v>
      </c>
      <c r="H331" s="8"/>
      <c r="I331" s="8" t="s">
        <v>32</v>
      </c>
      <c r="J331" s="9"/>
      <c r="K331" s="7"/>
      <c r="L331" s="8"/>
      <c r="M331" s="7" t="s">
        <v>1171</v>
      </c>
    </row>
    <row r="332" customFormat="false" ht="57.45" hidden="false" customHeight="false" outlineLevel="0" collapsed="false">
      <c r="A332" s="7" t="s">
        <v>1172</v>
      </c>
      <c r="B332" s="7" t="s">
        <v>1133</v>
      </c>
      <c r="C332" s="7" t="s">
        <v>1173</v>
      </c>
      <c r="D332" s="7" t="s">
        <v>1174</v>
      </c>
      <c r="E332" s="8"/>
      <c r="F332" s="8"/>
      <c r="G332" s="8" t="s">
        <v>633</v>
      </c>
      <c r="H332" s="8"/>
      <c r="I332" s="8" t="s">
        <v>32</v>
      </c>
      <c r="J332" s="9"/>
      <c r="K332" s="7"/>
      <c r="L332" s="8"/>
      <c r="M332" s="7" t="s">
        <v>1175</v>
      </c>
    </row>
    <row r="333" customFormat="false" ht="35.05" hidden="false" customHeight="false" outlineLevel="0" collapsed="false">
      <c r="A333" s="7" t="s">
        <v>1176</v>
      </c>
      <c r="B333" s="7" t="s">
        <v>1133</v>
      </c>
      <c r="C333" s="7" t="s">
        <v>1177</v>
      </c>
      <c r="D333" s="7" t="s">
        <v>1178</v>
      </c>
      <c r="E333" s="8"/>
      <c r="F333" s="8"/>
      <c r="G333" s="8" t="s">
        <v>633</v>
      </c>
      <c r="H333" s="8"/>
      <c r="I333" s="8" t="s">
        <v>32</v>
      </c>
      <c r="J333" s="9"/>
      <c r="K333" s="7"/>
      <c r="L333" s="8"/>
      <c r="M333" s="7" t="s">
        <v>1179</v>
      </c>
    </row>
    <row r="334" customFormat="false" ht="23.85" hidden="false" customHeight="false" outlineLevel="0" collapsed="false">
      <c r="A334" s="7" t="s">
        <v>1180</v>
      </c>
      <c r="B334" s="7" t="s">
        <v>1133</v>
      </c>
      <c r="C334" s="7" t="s">
        <v>1181</v>
      </c>
      <c r="D334" s="7" t="s">
        <v>344</v>
      </c>
      <c r="E334" s="8"/>
      <c r="F334" s="8"/>
      <c r="G334" s="8" t="s">
        <v>633</v>
      </c>
      <c r="H334" s="8"/>
      <c r="I334" s="8" t="s">
        <v>32</v>
      </c>
      <c r="J334" s="9"/>
      <c r="K334" s="7"/>
      <c r="L334" s="8"/>
      <c r="M334" s="7" t="s">
        <v>1182</v>
      </c>
    </row>
    <row r="335" customFormat="false" ht="46.25" hidden="false" customHeight="false" outlineLevel="0" collapsed="false">
      <c r="A335" s="7" t="s">
        <v>1183</v>
      </c>
      <c r="B335" s="7" t="s">
        <v>1133</v>
      </c>
      <c r="C335" s="7" t="s">
        <v>1184</v>
      </c>
      <c r="D335" s="7" t="s">
        <v>1185</v>
      </c>
      <c r="E335" s="8"/>
      <c r="F335" s="8"/>
      <c r="G335" s="8" t="s">
        <v>633</v>
      </c>
      <c r="H335" s="8"/>
      <c r="I335" s="8" t="s">
        <v>32</v>
      </c>
      <c r="J335" s="9"/>
      <c r="K335" s="7"/>
      <c r="L335" s="8"/>
      <c r="M335" s="7" t="s">
        <v>1186</v>
      </c>
    </row>
    <row r="336" customFormat="false" ht="35.05" hidden="false" customHeight="false" outlineLevel="0" collapsed="false">
      <c r="A336" s="7" t="s">
        <v>1187</v>
      </c>
      <c r="B336" s="7" t="s">
        <v>1133</v>
      </c>
      <c r="C336" s="7" t="s">
        <v>1188</v>
      </c>
      <c r="D336" s="7" t="s">
        <v>1189</v>
      </c>
      <c r="E336" s="8"/>
      <c r="F336" s="8"/>
      <c r="G336" s="8" t="s">
        <v>633</v>
      </c>
      <c r="H336" s="8"/>
      <c r="I336" s="8" t="s">
        <v>32</v>
      </c>
      <c r="J336" s="9"/>
      <c r="K336" s="7"/>
      <c r="L336" s="8"/>
      <c r="M336" s="7" t="s">
        <v>1190</v>
      </c>
    </row>
    <row r="337" customFormat="false" ht="35.05" hidden="false" customHeight="false" outlineLevel="0" collapsed="false">
      <c r="A337" s="7" t="s">
        <v>1191</v>
      </c>
      <c r="B337" s="7" t="s">
        <v>1133</v>
      </c>
      <c r="C337" s="7" t="s">
        <v>1192</v>
      </c>
      <c r="D337" s="7" t="s">
        <v>1193</v>
      </c>
      <c r="E337" s="8"/>
      <c r="F337" s="8"/>
      <c r="G337" s="8" t="s">
        <v>633</v>
      </c>
      <c r="H337" s="8"/>
      <c r="I337" s="8" t="s">
        <v>32</v>
      </c>
      <c r="J337" s="9"/>
      <c r="K337" s="7"/>
      <c r="L337" s="8"/>
      <c r="M337" s="7" t="s">
        <v>1194</v>
      </c>
    </row>
    <row r="338" customFormat="false" ht="35.05" hidden="false" customHeight="false" outlineLevel="0" collapsed="false">
      <c r="A338" s="7" t="s">
        <v>1195</v>
      </c>
      <c r="B338" s="7" t="s">
        <v>1133</v>
      </c>
      <c r="C338" s="7" t="s">
        <v>1196</v>
      </c>
      <c r="D338" s="7" t="s">
        <v>1197</v>
      </c>
      <c r="E338" s="8"/>
      <c r="F338" s="8"/>
      <c r="G338" s="8" t="s">
        <v>633</v>
      </c>
      <c r="H338" s="8"/>
      <c r="I338" s="8" t="s">
        <v>32</v>
      </c>
      <c r="J338" s="9"/>
      <c r="K338" s="7"/>
      <c r="L338" s="8"/>
      <c r="M338" s="7" t="s">
        <v>1198</v>
      </c>
    </row>
    <row r="339" customFormat="false" ht="23.85" hidden="false" customHeight="false" outlineLevel="0" collapsed="false">
      <c r="A339" s="7" t="s">
        <v>1199</v>
      </c>
      <c r="B339" s="7" t="s">
        <v>1200</v>
      </c>
      <c r="C339" s="7" t="s">
        <v>1201</v>
      </c>
      <c r="D339" s="7" t="s">
        <v>1202</v>
      </c>
      <c r="E339" s="8"/>
      <c r="F339" s="8"/>
      <c r="G339" s="8" t="s">
        <v>292</v>
      </c>
      <c r="H339" s="8"/>
      <c r="I339" s="8" t="s">
        <v>32</v>
      </c>
      <c r="J339" s="9"/>
      <c r="K339" s="7"/>
      <c r="L339" s="8"/>
      <c r="M339" s="7" t="s">
        <v>1203</v>
      </c>
    </row>
    <row r="340" customFormat="false" ht="23.85" hidden="false" customHeight="false" outlineLevel="0" collapsed="false">
      <c r="A340" s="7" t="s">
        <v>1204</v>
      </c>
      <c r="B340" s="7" t="s">
        <v>1110</v>
      </c>
      <c r="C340" s="7" t="s">
        <v>1205</v>
      </c>
      <c r="D340" s="7" t="s">
        <v>1110</v>
      </c>
      <c r="E340" s="8"/>
      <c r="F340" s="8"/>
      <c r="G340" s="8" t="s">
        <v>292</v>
      </c>
      <c r="H340" s="8"/>
      <c r="I340" s="8" t="s">
        <v>32</v>
      </c>
      <c r="J340" s="9"/>
      <c r="K340" s="7"/>
      <c r="L340" s="8"/>
      <c r="M340" s="7" t="s">
        <v>1206</v>
      </c>
    </row>
    <row r="341" customFormat="false" ht="23.85" hidden="false" customHeight="false" outlineLevel="0" collapsed="false">
      <c r="A341" s="7" t="s">
        <v>1207</v>
      </c>
      <c r="B341" s="7" t="s">
        <v>1110</v>
      </c>
      <c r="C341" s="7" t="s">
        <v>1208</v>
      </c>
      <c r="D341" s="7" t="s">
        <v>1110</v>
      </c>
      <c r="E341" s="8"/>
      <c r="F341" s="8"/>
      <c r="G341" s="8" t="s">
        <v>292</v>
      </c>
      <c r="H341" s="8"/>
      <c r="I341" s="8" t="s">
        <v>32</v>
      </c>
      <c r="J341" s="9"/>
      <c r="K341" s="7"/>
      <c r="L341" s="8"/>
      <c r="M341" s="7" t="s">
        <v>1209</v>
      </c>
    </row>
    <row r="342" customFormat="false" ht="57.45" hidden="false" customHeight="false" outlineLevel="0" collapsed="false">
      <c r="A342" s="7" t="s">
        <v>1210</v>
      </c>
      <c r="B342" s="7" t="s">
        <v>1133</v>
      </c>
      <c r="C342" s="7" t="s">
        <v>1211</v>
      </c>
      <c r="D342" s="7" t="s">
        <v>1212</v>
      </c>
      <c r="E342" s="8"/>
      <c r="F342" s="8"/>
      <c r="G342" s="8" t="s">
        <v>633</v>
      </c>
      <c r="H342" s="8"/>
      <c r="I342" s="8" t="s">
        <v>32</v>
      </c>
      <c r="J342" s="9"/>
      <c r="K342" s="7"/>
      <c r="L342" s="8"/>
      <c r="M342" s="7" t="s">
        <v>1213</v>
      </c>
    </row>
    <row r="343" customFormat="false" ht="46.25" hidden="false" customHeight="false" outlineLevel="0" collapsed="false">
      <c r="A343" s="7" t="s">
        <v>1214</v>
      </c>
      <c r="B343" s="7" t="s">
        <v>1215</v>
      </c>
      <c r="C343" s="7" t="s">
        <v>1216</v>
      </c>
      <c r="D343" s="7" t="s">
        <v>1217</v>
      </c>
      <c r="E343" s="8"/>
      <c r="F343" s="8"/>
      <c r="G343" s="8" t="s">
        <v>292</v>
      </c>
      <c r="H343" s="8"/>
      <c r="I343" s="8" t="s">
        <v>32</v>
      </c>
      <c r="J343" s="9"/>
      <c r="K343" s="7"/>
      <c r="L343" s="8"/>
      <c r="M343" s="7" t="s">
        <v>1218</v>
      </c>
    </row>
    <row r="344" customFormat="false" ht="46.25" hidden="false" customHeight="false" outlineLevel="0" collapsed="false">
      <c r="A344" s="7" t="s">
        <v>1219</v>
      </c>
      <c r="B344" s="7" t="s">
        <v>1220</v>
      </c>
      <c r="C344" s="7" t="s">
        <v>1221</v>
      </c>
      <c r="D344" s="7" t="s">
        <v>1222</v>
      </c>
      <c r="E344" s="8"/>
      <c r="F344" s="8"/>
      <c r="G344" s="8" t="s">
        <v>292</v>
      </c>
      <c r="H344" s="8"/>
      <c r="I344" s="8" t="s">
        <v>32</v>
      </c>
      <c r="J344" s="9"/>
      <c r="K344" s="7"/>
      <c r="L344" s="8"/>
      <c r="M344" s="7" t="s">
        <v>1223</v>
      </c>
    </row>
    <row r="345" customFormat="false" ht="35.05" hidden="false" customHeight="false" outlineLevel="0" collapsed="false">
      <c r="A345" s="7" t="s">
        <v>1224</v>
      </c>
      <c r="B345" s="7" t="s">
        <v>1133</v>
      </c>
      <c r="C345" s="7" t="s">
        <v>1225</v>
      </c>
      <c r="D345" s="7" t="s">
        <v>1226</v>
      </c>
      <c r="E345" s="8"/>
      <c r="F345" s="8"/>
      <c r="G345" s="8" t="s">
        <v>633</v>
      </c>
      <c r="H345" s="8"/>
      <c r="I345" s="8" t="s">
        <v>32</v>
      </c>
      <c r="J345" s="9"/>
      <c r="K345" s="7"/>
      <c r="L345" s="8"/>
      <c r="M345" s="7" t="s">
        <v>1227</v>
      </c>
    </row>
    <row r="346" customFormat="false" ht="23.85" hidden="false" customHeight="false" outlineLevel="0" collapsed="false">
      <c r="A346" s="7" t="s">
        <v>1228</v>
      </c>
      <c r="B346" s="7" t="s">
        <v>1110</v>
      </c>
      <c r="C346" s="7" t="s">
        <v>1229</v>
      </c>
      <c r="D346" s="7" t="s">
        <v>1110</v>
      </c>
      <c r="E346" s="8"/>
      <c r="F346" s="8"/>
      <c r="G346" s="8" t="s">
        <v>292</v>
      </c>
      <c r="H346" s="8"/>
      <c r="I346" s="8" t="s">
        <v>32</v>
      </c>
      <c r="J346" s="9"/>
      <c r="K346" s="7"/>
      <c r="L346" s="8"/>
      <c r="M346" s="7" t="s">
        <v>1230</v>
      </c>
    </row>
    <row r="347" customFormat="false" ht="35.05" hidden="false" customHeight="false" outlineLevel="0" collapsed="false">
      <c r="A347" s="7" t="s">
        <v>1231</v>
      </c>
      <c r="B347" s="7" t="s">
        <v>1133</v>
      </c>
      <c r="C347" s="7" t="s">
        <v>1232</v>
      </c>
      <c r="D347" s="7" t="s">
        <v>1233</v>
      </c>
      <c r="E347" s="8"/>
      <c r="F347" s="8"/>
      <c r="G347" s="8" t="s">
        <v>633</v>
      </c>
      <c r="H347" s="8"/>
      <c r="I347" s="8" t="s">
        <v>32</v>
      </c>
      <c r="J347" s="9"/>
      <c r="K347" s="7"/>
      <c r="L347" s="8"/>
      <c r="M347" s="7" t="s">
        <v>1234</v>
      </c>
    </row>
    <row r="348" customFormat="false" ht="46.25" hidden="false" customHeight="false" outlineLevel="0" collapsed="false">
      <c r="A348" s="7" t="s">
        <v>1235</v>
      </c>
      <c r="B348" s="7" t="s">
        <v>1133</v>
      </c>
      <c r="C348" s="7" t="s">
        <v>1236</v>
      </c>
      <c r="D348" s="7" t="s">
        <v>1154</v>
      </c>
      <c r="E348" s="8"/>
      <c r="F348" s="8"/>
      <c r="G348" s="8" t="s">
        <v>633</v>
      </c>
      <c r="H348" s="8"/>
      <c r="I348" s="8" t="s">
        <v>32</v>
      </c>
      <c r="J348" s="9"/>
      <c r="K348" s="7"/>
      <c r="L348" s="8"/>
      <c r="M348" s="7" t="s">
        <v>1237</v>
      </c>
    </row>
    <row r="349" customFormat="false" ht="23.85" hidden="false" customHeight="false" outlineLevel="0" collapsed="false">
      <c r="A349" s="7" t="s">
        <v>1238</v>
      </c>
      <c r="B349" s="7" t="s">
        <v>1133</v>
      </c>
      <c r="C349" s="7" t="s">
        <v>1239</v>
      </c>
      <c r="D349" s="7" t="s">
        <v>1240</v>
      </c>
      <c r="E349" s="8"/>
      <c r="F349" s="8"/>
      <c r="G349" s="8" t="s">
        <v>633</v>
      </c>
      <c r="H349" s="8"/>
      <c r="I349" s="8" t="s">
        <v>32</v>
      </c>
      <c r="J349" s="9"/>
      <c r="K349" s="7"/>
      <c r="L349" s="8"/>
      <c r="M349" s="7" t="s">
        <v>1241</v>
      </c>
    </row>
    <row r="350" customFormat="false" ht="15" hidden="false" customHeight="false" outlineLevel="0" collapsed="false">
      <c r="A350" s="7" t="s">
        <v>1242</v>
      </c>
      <c r="B350" s="7" t="s">
        <v>1243</v>
      </c>
      <c r="C350" s="7" t="s">
        <v>1243</v>
      </c>
      <c r="D350" s="7"/>
      <c r="E350" s="8"/>
      <c r="F350" s="8"/>
      <c r="G350" s="8" t="s">
        <v>297</v>
      </c>
      <c r="H350" s="8"/>
      <c r="I350" s="8" t="s">
        <v>32</v>
      </c>
      <c r="J350" s="9"/>
      <c r="K350" s="7"/>
      <c r="L350" s="8"/>
      <c r="M350" s="7" t="s">
        <v>1244</v>
      </c>
    </row>
    <row r="351" customFormat="false" ht="35.05" hidden="false" customHeight="false" outlineLevel="0" collapsed="false">
      <c r="A351" s="7" t="s">
        <v>1245</v>
      </c>
      <c r="B351" s="7" t="s">
        <v>1246</v>
      </c>
      <c r="C351" s="7" t="s">
        <v>1247</v>
      </c>
      <c r="D351" s="7" t="s">
        <v>1248</v>
      </c>
      <c r="E351" s="8"/>
      <c r="F351" s="8"/>
      <c r="G351" s="8" t="s">
        <v>633</v>
      </c>
      <c r="H351" s="8"/>
      <c r="I351" s="8" t="s">
        <v>32</v>
      </c>
      <c r="J351" s="9"/>
      <c r="K351" s="7"/>
      <c r="L351" s="8"/>
      <c r="M351" s="7" t="s">
        <v>1249</v>
      </c>
    </row>
    <row r="352" customFormat="false" ht="35.05" hidden="false" customHeight="false" outlineLevel="0" collapsed="false">
      <c r="A352" s="7" t="s">
        <v>1250</v>
      </c>
      <c r="B352" s="7" t="s">
        <v>1251</v>
      </c>
      <c r="C352" s="7" t="s">
        <v>1252</v>
      </c>
      <c r="D352" s="7" t="s">
        <v>1253</v>
      </c>
      <c r="E352" s="8"/>
      <c r="F352" s="8"/>
      <c r="G352" s="8" t="s">
        <v>633</v>
      </c>
      <c r="H352" s="8"/>
      <c r="I352" s="8" t="s">
        <v>32</v>
      </c>
      <c r="J352" s="9"/>
      <c r="K352" s="7"/>
      <c r="L352" s="8"/>
      <c r="M352" s="7" t="s">
        <v>1254</v>
      </c>
    </row>
    <row r="353" customFormat="false" ht="35.05" hidden="false" customHeight="false" outlineLevel="0" collapsed="false">
      <c r="A353" s="7" t="s">
        <v>1255</v>
      </c>
      <c r="B353" s="7" t="s">
        <v>1256</v>
      </c>
      <c r="C353" s="7" t="s">
        <v>1257</v>
      </c>
      <c r="D353" s="7" t="s">
        <v>1258</v>
      </c>
      <c r="E353" s="8"/>
      <c r="F353" s="8"/>
      <c r="G353" s="8" t="s">
        <v>633</v>
      </c>
      <c r="H353" s="8"/>
      <c r="I353" s="8" t="s">
        <v>32</v>
      </c>
      <c r="J353" s="9"/>
      <c r="K353" s="7"/>
      <c r="L353" s="8"/>
      <c r="M353" s="7" t="s">
        <v>1259</v>
      </c>
    </row>
    <row r="354" customFormat="false" ht="23.85" hidden="false" customHeight="false" outlineLevel="0" collapsed="false">
      <c r="A354" s="7" t="s">
        <v>1260</v>
      </c>
      <c r="B354" s="7" t="s">
        <v>1261</v>
      </c>
      <c r="C354" s="7" t="s">
        <v>1262</v>
      </c>
      <c r="D354" s="7" t="s">
        <v>1263</v>
      </c>
      <c r="E354" s="8"/>
      <c r="F354" s="8"/>
      <c r="G354" s="8" t="s">
        <v>633</v>
      </c>
      <c r="H354" s="8"/>
      <c r="I354" s="8" t="s">
        <v>32</v>
      </c>
      <c r="J354" s="9"/>
      <c r="K354" s="7"/>
      <c r="L354" s="8"/>
      <c r="M354" s="7" t="s">
        <v>1264</v>
      </c>
    </row>
    <row r="355" customFormat="false" ht="23.85" hidden="false" customHeight="false" outlineLevel="0" collapsed="false">
      <c r="A355" s="7" t="s">
        <v>1265</v>
      </c>
      <c r="B355" s="7" t="s">
        <v>1266</v>
      </c>
      <c r="C355" s="7" t="s">
        <v>1267</v>
      </c>
      <c r="D355" s="7" t="s">
        <v>1268</v>
      </c>
      <c r="E355" s="8"/>
      <c r="F355" s="8"/>
      <c r="G355" s="8" t="s">
        <v>633</v>
      </c>
      <c r="H355" s="8"/>
      <c r="I355" s="8" t="s">
        <v>32</v>
      </c>
      <c r="J355" s="9"/>
      <c r="K355" s="7"/>
      <c r="L355" s="8"/>
      <c r="M355" s="7" t="s">
        <v>1269</v>
      </c>
    </row>
    <row r="356" customFormat="false" ht="23.85" hidden="false" customHeight="false" outlineLevel="0" collapsed="false">
      <c r="A356" s="7" t="s">
        <v>1270</v>
      </c>
      <c r="B356" s="7" t="s">
        <v>1266</v>
      </c>
      <c r="C356" s="7" t="s">
        <v>1271</v>
      </c>
      <c r="D356" s="7" t="s">
        <v>1266</v>
      </c>
      <c r="E356" s="8"/>
      <c r="F356" s="8"/>
      <c r="G356" s="8" t="s">
        <v>292</v>
      </c>
      <c r="H356" s="8"/>
      <c r="I356" s="8" t="s">
        <v>32</v>
      </c>
      <c r="J356" s="9"/>
      <c r="K356" s="7"/>
      <c r="L356" s="8"/>
      <c r="M356" s="7" t="s">
        <v>1272</v>
      </c>
    </row>
    <row r="357" customFormat="false" ht="23.85" hidden="false" customHeight="false" outlineLevel="0" collapsed="false">
      <c r="A357" s="7" t="s">
        <v>1273</v>
      </c>
      <c r="B357" s="7" t="s">
        <v>1274</v>
      </c>
      <c r="C357" s="7" t="s">
        <v>1275</v>
      </c>
      <c r="D357" s="7" t="s">
        <v>1274</v>
      </c>
      <c r="E357" s="8"/>
      <c r="F357" s="8"/>
      <c r="G357" s="8" t="s">
        <v>292</v>
      </c>
      <c r="H357" s="8"/>
      <c r="I357" s="8" t="s">
        <v>32</v>
      </c>
      <c r="J357" s="9"/>
      <c r="K357" s="7"/>
      <c r="L357" s="8"/>
      <c r="M357" s="7" t="s">
        <v>1276</v>
      </c>
    </row>
    <row r="358" customFormat="false" ht="23.85" hidden="false" customHeight="false" outlineLevel="0" collapsed="false">
      <c r="A358" s="7" t="s">
        <v>1277</v>
      </c>
      <c r="B358" s="7" t="s">
        <v>1278</v>
      </c>
      <c r="C358" s="7" t="s">
        <v>1279</v>
      </c>
      <c r="D358" s="7" t="s">
        <v>1280</v>
      </c>
      <c r="E358" s="8"/>
      <c r="F358" s="8"/>
      <c r="G358" s="8" t="s">
        <v>292</v>
      </c>
      <c r="H358" s="8"/>
      <c r="I358" s="8" t="s">
        <v>32</v>
      </c>
      <c r="J358" s="9"/>
      <c r="K358" s="7"/>
      <c r="L358" s="8"/>
      <c r="M358" s="7" t="s">
        <v>1281</v>
      </c>
    </row>
    <row r="359" customFormat="false" ht="23.85" hidden="false" customHeight="false" outlineLevel="0" collapsed="false">
      <c r="A359" s="7" t="s">
        <v>1282</v>
      </c>
      <c r="B359" s="7" t="s">
        <v>1283</v>
      </c>
      <c r="C359" s="7" t="s">
        <v>1284</v>
      </c>
      <c r="D359" s="7" t="s">
        <v>1285</v>
      </c>
      <c r="E359" s="8"/>
      <c r="F359" s="8"/>
      <c r="G359" s="8" t="s">
        <v>633</v>
      </c>
      <c r="H359" s="8"/>
      <c r="I359" s="8" t="s">
        <v>32</v>
      </c>
      <c r="J359" s="9"/>
      <c r="K359" s="7"/>
      <c r="L359" s="8"/>
      <c r="M359" s="7" t="s">
        <v>1286</v>
      </c>
    </row>
    <row r="360" customFormat="false" ht="35.05" hidden="false" customHeight="false" outlineLevel="0" collapsed="false">
      <c r="A360" s="7" t="s">
        <v>1287</v>
      </c>
      <c r="B360" s="7" t="s">
        <v>359</v>
      </c>
      <c r="C360" s="7" t="s">
        <v>1288</v>
      </c>
      <c r="D360" s="7" t="s">
        <v>1289</v>
      </c>
      <c r="E360" s="8"/>
      <c r="F360" s="8"/>
      <c r="G360" s="8" t="s">
        <v>633</v>
      </c>
      <c r="H360" s="8"/>
      <c r="I360" s="8" t="s">
        <v>32</v>
      </c>
      <c r="J360" s="9"/>
      <c r="K360" s="7"/>
      <c r="L360" s="8"/>
      <c r="M360" s="7" t="s">
        <v>1290</v>
      </c>
    </row>
    <row r="361" customFormat="false" ht="23.85" hidden="false" customHeight="false" outlineLevel="0" collapsed="false">
      <c r="A361" s="7" t="s">
        <v>1291</v>
      </c>
      <c r="B361" s="7" t="s">
        <v>1200</v>
      </c>
      <c r="C361" s="7" t="s">
        <v>1292</v>
      </c>
      <c r="D361" s="7" t="s">
        <v>1202</v>
      </c>
      <c r="E361" s="8"/>
      <c r="F361" s="8"/>
      <c r="G361" s="8" t="s">
        <v>292</v>
      </c>
      <c r="H361" s="8"/>
      <c r="I361" s="8" t="s">
        <v>32</v>
      </c>
      <c r="J361" s="9"/>
      <c r="K361" s="7"/>
      <c r="L361" s="8"/>
      <c r="M361" s="7" t="s">
        <v>1293</v>
      </c>
    </row>
    <row r="362" customFormat="false" ht="35.05" hidden="false" customHeight="false" outlineLevel="0" collapsed="false">
      <c r="A362" s="7" t="s">
        <v>1294</v>
      </c>
      <c r="B362" s="7" t="s">
        <v>1295</v>
      </c>
      <c r="C362" s="7" t="s">
        <v>1296</v>
      </c>
      <c r="D362" s="7" t="s">
        <v>1297</v>
      </c>
      <c r="E362" s="8"/>
      <c r="F362" s="8"/>
      <c r="G362" s="8" t="s">
        <v>292</v>
      </c>
      <c r="H362" s="8"/>
      <c r="I362" s="8" t="s">
        <v>32</v>
      </c>
      <c r="J362" s="9"/>
      <c r="K362" s="7"/>
      <c r="L362" s="8"/>
      <c r="M362" s="7" t="s">
        <v>1298</v>
      </c>
    </row>
    <row r="363" customFormat="false" ht="57.45" hidden="false" customHeight="false" outlineLevel="0" collapsed="false">
      <c r="A363" s="7" t="s">
        <v>1299</v>
      </c>
      <c r="B363" s="7" t="s">
        <v>1300</v>
      </c>
      <c r="C363" s="7" t="s">
        <v>1301</v>
      </c>
      <c r="D363" s="7" t="s">
        <v>1302</v>
      </c>
      <c r="E363" s="8"/>
      <c r="F363" s="8"/>
      <c r="G363" s="8" t="s">
        <v>633</v>
      </c>
      <c r="H363" s="8"/>
      <c r="I363" s="8" t="s">
        <v>32</v>
      </c>
      <c r="J363" s="9"/>
      <c r="K363" s="7"/>
      <c r="L363" s="8"/>
      <c r="M363" s="7" t="s">
        <v>1303</v>
      </c>
    </row>
    <row r="364" customFormat="false" ht="35.05" hidden="false" customHeight="false" outlineLevel="0" collapsed="false">
      <c r="A364" s="7" t="s">
        <v>1304</v>
      </c>
      <c r="B364" s="7" t="s">
        <v>1305</v>
      </c>
      <c r="C364" s="7" t="s">
        <v>1306</v>
      </c>
      <c r="D364" s="7" t="s">
        <v>1307</v>
      </c>
      <c r="E364" s="8"/>
      <c r="F364" s="8"/>
      <c r="G364" s="8" t="s">
        <v>633</v>
      </c>
      <c r="H364" s="8"/>
      <c r="I364" s="8" t="s">
        <v>32</v>
      </c>
      <c r="J364" s="9"/>
      <c r="K364" s="7"/>
      <c r="L364" s="8"/>
      <c r="M364" s="7" t="s">
        <v>1308</v>
      </c>
    </row>
    <row r="365" customFormat="false" ht="46.25" hidden="false" customHeight="false" outlineLevel="0" collapsed="false">
      <c r="A365" s="7" t="s">
        <v>1309</v>
      </c>
      <c r="B365" s="7" t="s">
        <v>1310</v>
      </c>
      <c r="C365" s="7" t="s">
        <v>1311</v>
      </c>
      <c r="D365" s="7" t="s">
        <v>1312</v>
      </c>
      <c r="E365" s="8"/>
      <c r="F365" s="8"/>
      <c r="G365" s="8" t="s">
        <v>633</v>
      </c>
      <c r="H365" s="8"/>
      <c r="I365" s="8" t="s">
        <v>32</v>
      </c>
      <c r="J365" s="9"/>
      <c r="K365" s="7"/>
      <c r="L365" s="8"/>
      <c r="M365" s="7" t="s">
        <v>1313</v>
      </c>
    </row>
    <row r="366" customFormat="false" ht="46.25" hidden="false" customHeight="false" outlineLevel="0" collapsed="false">
      <c r="A366" s="7" t="s">
        <v>1314</v>
      </c>
      <c r="B366" s="7" t="s">
        <v>1315</v>
      </c>
      <c r="C366" s="7" t="s">
        <v>1316</v>
      </c>
      <c r="D366" s="7" t="s">
        <v>1317</v>
      </c>
      <c r="E366" s="8"/>
      <c r="F366" s="8"/>
      <c r="G366" s="8" t="s">
        <v>633</v>
      </c>
      <c r="H366" s="8"/>
      <c r="I366" s="8" t="s">
        <v>32</v>
      </c>
      <c r="J366" s="9"/>
      <c r="K366" s="7"/>
      <c r="L366" s="8"/>
      <c r="M366" s="7" t="s">
        <v>1318</v>
      </c>
    </row>
    <row r="367" customFormat="false" ht="57.45" hidden="false" customHeight="false" outlineLevel="0" collapsed="false">
      <c r="A367" s="7" t="s">
        <v>1319</v>
      </c>
      <c r="B367" s="7" t="s">
        <v>1315</v>
      </c>
      <c r="C367" s="7" t="s">
        <v>1320</v>
      </c>
      <c r="D367" s="7" t="s">
        <v>1321</v>
      </c>
      <c r="E367" s="8"/>
      <c r="F367" s="8"/>
      <c r="G367" s="8" t="s">
        <v>633</v>
      </c>
      <c r="H367" s="8"/>
      <c r="I367" s="8" t="s">
        <v>32</v>
      </c>
      <c r="J367" s="9"/>
      <c r="K367" s="7"/>
      <c r="L367" s="8"/>
      <c r="M367" s="7" t="s">
        <v>1322</v>
      </c>
    </row>
    <row r="368" customFormat="false" ht="102.2" hidden="false" customHeight="false" outlineLevel="0" collapsed="false">
      <c r="A368" s="7" t="s">
        <v>209</v>
      </c>
      <c r="B368" s="7" t="s">
        <v>359</v>
      </c>
      <c r="C368" s="7" t="s">
        <v>1323</v>
      </c>
      <c r="D368" s="7" t="s">
        <v>1324</v>
      </c>
      <c r="E368" s="8"/>
      <c r="F368" s="8"/>
      <c r="G368" s="8" t="s">
        <v>633</v>
      </c>
      <c r="H368" s="8"/>
      <c r="I368" s="8" t="s">
        <v>32</v>
      </c>
      <c r="J368" s="9"/>
      <c r="K368" s="11" t="s">
        <v>1325</v>
      </c>
      <c r="L368" s="8"/>
      <c r="M368" s="7" t="s">
        <v>1326</v>
      </c>
    </row>
    <row r="369" customFormat="false" ht="23.85" hidden="false" customHeight="false" outlineLevel="0" collapsed="false">
      <c r="A369" s="7" t="s">
        <v>1327</v>
      </c>
      <c r="B369" s="7" t="s">
        <v>1328</v>
      </c>
      <c r="C369" s="7" t="s">
        <v>1329</v>
      </c>
      <c r="D369" s="7"/>
      <c r="E369" s="8"/>
      <c r="F369" s="8"/>
      <c r="G369" s="8" t="s">
        <v>451</v>
      </c>
      <c r="H369" s="8"/>
      <c r="I369" s="8" t="s">
        <v>32</v>
      </c>
      <c r="J369" s="9"/>
      <c r="K369" s="11" t="s">
        <v>452</v>
      </c>
      <c r="L369" s="8"/>
      <c r="M369" s="7" t="s">
        <v>1330</v>
      </c>
    </row>
  </sheetData>
  <autoFilter ref="A1:M369"/>
  <dataValidations count="2">
    <dataValidation allowBlank="true" errorStyle="stop" operator="between" showDropDown="false" showErrorMessage="false" showInputMessage="false" sqref="I2:I569" type="list">
      <formula1>"Pending,Shred,Return to Client,Keep"</formula1>
      <formula2>0</formula2>
    </dataValidation>
    <dataValidation allowBlank="true" errorStyle="stop" operator="between" showDropDown="false" showErrorMessage="false" showInputMessage="false" sqref="G2:G569" type="list">
      <formula1>"Client File,Needs Matter Assignment,Mixed - Multiple Matters,Needs ID,Mail,Firm Admin,Supplies"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30" hidden="false" customHeight="true" outlineLevel="0" collapsed="false">
      <c r="A1" s="6" t="s">
        <v>1331</v>
      </c>
    </row>
    <row r="2" customFormat="false" ht="15" hidden="false" customHeight="false" outlineLevel="0" collapsed="false">
      <c r="A2" s="7" t="s">
        <v>1332</v>
      </c>
    </row>
    <row r="3" customFormat="false" ht="15" hidden="false" customHeight="false" outlineLevel="0" collapsed="false">
      <c r="A3" s="7" t="s">
        <v>1333</v>
      </c>
    </row>
    <row r="4" customFormat="false" ht="15" hidden="false" customHeight="false" outlineLevel="0" collapsed="false">
      <c r="A4" s="7" t="s">
        <v>1334</v>
      </c>
    </row>
    <row r="5" customFormat="false" ht="15" hidden="false" customHeight="false" outlineLevel="0" collapsed="false">
      <c r="A5" s="7" t="s">
        <v>1335</v>
      </c>
    </row>
    <row r="6" customFormat="false" ht="23.85" hidden="false" customHeight="false" outlineLevel="0" collapsed="false">
      <c r="A6" s="7" t="s">
        <v>1336</v>
      </c>
    </row>
    <row r="7" customFormat="false" ht="15" hidden="false" customHeight="false" outlineLevel="0" collapsed="false">
      <c r="A7" s="7" t="s">
        <v>1337</v>
      </c>
    </row>
    <row r="8" customFormat="false" ht="15" hidden="false" customHeight="false" outlineLevel="0" collapsed="false">
      <c r="A8" s="7" t="s">
        <v>1338</v>
      </c>
    </row>
    <row r="9" customFormat="false" ht="15" hidden="false" customHeight="false" outlineLevel="0" collapsed="false">
      <c r="A9" s="7" t="s">
        <v>1339</v>
      </c>
    </row>
    <row r="10" customFormat="false" ht="15" hidden="false" customHeight="false" outlineLevel="0" collapsed="false">
      <c r="A10" s="7" t="s">
        <v>1340</v>
      </c>
    </row>
    <row r="11" customFormat="false" ht="15" hidden="false" customHeight="false" outlineLevel="0" collapsed="false">
      <c r="A11" s="7" t="s">
        <v>1341</v>
      </c>
    </row>
    <row r="12" customFormat="false" ht="15" hidden="false" customHeight="false" outlineLevel="0" collapsed="false">
      <c r="A12" s="7" t="s">
        <v>1342</v>
      </c>
    </row>
    <row r="13" customFormat="false" ht="15" hidden="false" customHeight="false" outlineLevel="0" collapsed="false">
      <c r="A13" s="7" t="s">
        <v>1343</v>
      </c>
    </row>
    <row r="14" customFormat="false" ht="15" hidden="false" customHeight="false" outlineLevel="0" collapsed="false">
      <c r="A14" s="7" t="s">
        <v>1344</v>
      </c>
    </row>
    <row r="15" customFormat="false" ht="15" hidden="false" customHeight="false" outlineLevel="0" collapsed="false">
      <c r="A15" s="7" t="s">
        <v>1345</v>
      </c>
    </row>
    <row r="16" customFormat="false" ht="15" hidden="false" customHeight="false" outlineLevel="0" collapsed="false">
      <c r="A16" s="7" t="s">
        <v>1346</v>
      </c>
    </row>
    <row r="17" customFormat="false" ht="15" hidden="false" customHeight="false" outlineLevel="0" collapsed="false">
      <c r="A17" s="7" t="s">
        <v>1347</v>
      </c>
    </row>
    <row r="18" customFormat="false" ht="15" hidden="false" customHeight="false" outlineLevel="0" collapsed="false">
      <c r="A18" s="7" t="s">
        <v>1348</v>
      </c>
    </row>
    <row r="19" customFormat="false" ht="15" hidden="false" customHeight="false" outlineLevel="0" collapsed="false">
      <c r="A19" s="7" t="s">
        <v>1349</v>
      </c>
    </row>
    <row r="20" customFormat="false" ht="15" hidden="false" customHeight="false" outlineLevel="0" collapsed="false">
      <c r="A20" s="7" t="s">
        <v>1350</v>
      </c>
    </row>
    <row r="21" customFormat="false" ht="15" hidden="false" customHeight="false" outlineLevel="0" collapsed="false">
      <c r="A21" s="7" t="s">
        <v>1351</v>
      </c>
    </row>
    <row r="22" customFormat="false" ht="15" hidden="false" customHeight="false" outlineLevel="0" collapsed="false">
      <c r="A22" s="7" t="s">
        <v>1352</v>
      </c>
    </row>
    <row r="23" customFormat="false" ht="15" hidden="false" customHeight="false" outlineLevel="0" collapsed="false">
      <c r="A23" s="7" t="s">
        <v>1353</v>
      </c>
    </row>
    <row r="24" customFormat="false" ht="15" hidden="false" customHeight="false" outlineLevel="0" collapsed="false">
      <c r="A24" s="7" t="s">
        <v>1354</v>
      </c>
    </row>
    <row r="25" customFormat="false" ht="15" hidden="false" customHeight="false" outlineLevel="0" collapsed="false">
      <c r="A25" s="7" t="s">
        <v>1355</v>
      </c>
    </row>
    <row r="26" customFormat="false" ht="15" hidden="false" customHeight="false" outlineLevel="0" collapsed="false">
      <c r="A26" s="7" t="s">
        <v>1356</v>
      </c>
    </row>
    <row r="27" customFormat="false" ht="15" hidden="false" customHeight="false" outlineLevel="0" collapsed="false">
      <c r="A27" s="7" t="s">
        <v>1357</v>
      </c>
    </row>
    <row r="28" customFormat="false" ht="15" hidden="false" customHeight="false" outlineLevel="0" collapsed="false">
      <c r="A28" s="7" t="s">
        <v>1358</v>
      </c>
    </row>
    <row r="29" customFormat="false" ht="15" hidden="false" customHeight="false" outlineLevel="0" collapsed="false">
      <c r="A29" s="7" t="s">
        <v>1359</v>
      </c>
    </row>
    <row r="30" customFormat="false" ht="15" hidden="false" customHeight="false" outlineLevel="0" collapsed="false">
      <c r="A30" s="7" t="s">
        <v>1360</v>
      </c>
    </row>
    <row r="31" customFormat="false" ht="15" hidden="false" customHeight="false" outlineLevel="0" collapsed="false">
      <c r="A31" s="7" t="s">
        <v>1361</v>
      </c>
    </row>
    <row r="32" customFormat="false" ht="15" hidden="false" customHeight="false" outlineLevel="0" collapsed="false">
      <c r="A32" s="7" t="s">
        <v>1362</v>
      </c>
    </row>
    <row r="33" customFormat="false" ht="15" hidden="false" customHeight="false" outlineLevel="0" collapsed="false">
      <c r="A33" s="7" t="s">
        <v>1363</v>
      </c>
    </row>
    <row r="34" customFormat="false" ht="15" hidden="false" customHeight="false" outlineLevel="0" collapsed="false">
      <c r="A34" s="7" t="s">
        <v>1364</v>
      </c>
    </row>
    <row r="35" customFormat="false" ht="15" hidden="false" customHeight="false" outlineLevel="0" collapsed="false">
      <c r="A35" s="7" t="s">
        <v>1365</v>
      </c>
    </row>
    <row r="36" customFormat="false" ht="15" hidden="false" customHeight="false" outlineLevel="0" collapsed="false">
      <c r="A36" s="7" t="s">
        <v>1366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30"/>
  </cols>
  <sheetData>
    <row r="1" customFormat="false" ht="15" hidden="false" customHeight="false" outlineLevel="0" collapsed="false">
      <c r="A1" s="12" t="s">
        <v>1367</v>
      </c>
      <c r="B1" s="12" t="s">
        <v>1368</v>
      </c>
      <c r="C1" s="12" t="s">
        <v>1369</v>
      </c>
      <c r="D1" s="12" t="s">
        <v>1370</v>
      </c>
      <c r="E1" s="12" t="s">
        <v>1371</v>
      </c>
      <c r="F1" s="12" t="s">
        <v>1372</v>
      </c>
      <c r="G1" s="12" t="s">
        <v>28</v>
      </c>
    </row>
    <row r="2" customFormat="false" ht="15" hidden="false" customHeight="false" outlineLevel="0" collapsed="false">
      <c r="A2" s="12" t="s">
        <v>29</v>
      </c>
      <c r="B2" s="12" t="s">
        <v>30</v>
      </c>
      <c r="C2" s="12" t="s">
        <v>1373</v>
      </c>
      <c r="D2" s="12" t="s">
        <v>1373</v>
      </c>
      <c r="E2" s="12" t="s">
        <v>1374</v>
      </c>
      <c r="F2" s="12" t="s">
        <v>74</v>
      </c>
    </row>
    <row r="3" customFormat="false" ht="15" hidden="false" customHeight="false" outlineLevel="0" collapsed="false">
      <c r="F3" s="12" t="s">
        <v>77</v>
      </c>
    </row>
    <row r="4" customFormat="false" ht="15" hidden="false" customHeight="false" outlineLevel="0" collapsed="false">
      <c r="F4" s="12" t="s">
        <v>79</v>
      </c>
    </row>
    <row r="5" customFormat="false" ht="15" hidden="false" customHeight="false" outlineLevel="0" collapsed="false">
      <c r="F5" s="12" t="s">
        <v>81</v>
      </c>
    </row>
    <row r="6" customFormat="false" ht="15" hidden="false" customHeight="false" outlineLevel="0" collapsed="false">
      <c r="F6" s="12" t="s">
        <v>83</v>
      </c>
    </row>
    <row r="7" customFormat="false" ht="15" hidden="false" customHeight="false" outlineLevel="0" collapsed="false">
      <c r="F7" s="12" t="s">
        <v>85</v>
      </c>
    </row>
    <row r="8" customFormat="false" ht="15" hidden="false" customHeight="false" outlineLevel="0" collapsed="false">
      <c r="F8" s="12" t="s">
        <v>87</v>
      </c>
    </row>
    <row r="9" customFormat="false" ht="15" hidden="false" customHeight="false" outlineLevel="0" collapsed="false">
      <c r="F9" s="12" t="s">
        <v>89</v>
      </c>
    </row>
    <row r="10" customFormat="false" ht="15" hidden="false" customHeight="false" outlineLevel="0" collapsed="false">
      <c r="F10" s="12" t="s">
        <v>91</v>
      </c>
    </row>
    <row r="11" customFormat="false" ht="15" hidden="false" customHeight="false" outlineLevel="0" collapsed="false">
      <c r="F11" s="12" t="s">
        <v>93</v>
      </c>
    </row>
    <row r="12" customFormat="false" ht="15" hidden="false" customHeight="false" outlineLevel="0" collapsed="false">
      <c r="F12" s="12" t="s">
        <v>95</v>
      </c>
    </row>
    <row r="13" customFormat="false" ht="15" hidden="false" customHeight="false" outlineLevel="0" collapsed="false">
      <c r="F13" s="12" t="s">
        <v>97</v>
      </c>
    </row>
    <row r="14" customFormat="false" ht="15" hidden="false" customHeight="false" outlineLevel="0" collapsed="false">
      <c r="F14" s="12" t="s">
        <v>99</v>
      </c>
    </row>
    <row r="15" customFormat="false" ht="15" hidden="false" customHeight="false" outlineLevel="0" collapsed="false">
      <c r="F15" s="12" t="s">
        <v>101</v>
      </c>
    </row>
    <row r="16" customFormat="false" ht="15" hidden="false" customHeight="false" outlineLevel="0" collapsed="false">
      <c r="F16" s="12" t="s">
        <v>103</v>
      </c>
    </row>
    <row r="17" customFormat="false" ht="15" hidden="false" customHeight="false" outlineLevel="0" collapsed="false">
      <c r="F17" s="12" t="s">
        <v>105</v>
      </c>
    </row>
    <row r="18" customFormat="false" ht="15" hidden="false" customHeight="false" outlineLevel="0" collapsed="false">
      <c r="F18" s="12" t="s">
        <v>107</v>
      </c>
    </row>
    <row r="19" customFormat="false" ht="15" hidden="false" customHeight="false" outlineLevel="0" collapsed="false">
      <c r="F19" s="12" t="s">
        <v>109</v>
      </c>
    </row>
    <row r="20" customFormat="false" ht="15" hidden="false" customHeight="false" outlineLevel="0" collapsed="false">
      <c r="F20" s="12" t="s">
        <v>111</v>
      </c>
    </row>
    <row r="21" customFormat="false" ht="15" hidden="false" customHeight="false" outlineLevel="0" collapsed="false">
      <c r="F21" s="12" t="s">
        <v>113</v>
      </c>
    </row>
    <row r="22" customFormat="false" ht="15" hidden="false" customHeight="false" outlineLevel="0" collapsed="false">
      <c r="F22" s="12" t="s">
        <v>115</v>
      </c>
    </row>
    <row r="23" customFormat="false" ht="15" hidden="false" customHeight="false" outlineLevel="0" collapsed="false">
      <c r="F23" s="12" t="s">
        <v>117</v>
      </c>
    </row>
    <row r="24" customFormat="false" ht="15" hidden="false" customHeight="false" outlineLevel="0" collapsed="false">
      <c r="F24" s="12" t="s">
        <v>119</v>
      </c>
    </row>
    <row r="25" customFormat="false" ht="15" hidden="false" customHeight="false" outlineLevel="0" collapsed="false">
      <c r="F25" s="12" t="s">
        <v>121</v>
      </c>
    </row>
    <row r="26" customFormat="false" ht="15" hidden="false" customHeight="false" outlineLevel="0" collapsed="false">
      <c r="F26" s="12" t="s">
        <v>123</v>
      </c>
    </row>
    <row r="27" customFormat="false" ht="15" hidden="false" customHeight="false" outlineLevel="0" collapsed="false">
      <c r="F27" s="12" t="s">
        <v>125</v>
      </c>
    </row>
    <row r="28" customFormat="false" ht="15" hidden="false" customHeight="false" outlineLevel="0" collapsed="false">
      <c r="F28" s="12" t="s">
        <v>127</v>
      </c>
    </row>
    <row r="29" customFormat="false" ht="15" hidden="false" customHeight="false" outlineLevel="0" collapsed="false">
      <c r="F29" s="12" t="s">
        <v>129</v>
      </c>
    </row>
    <row r="30" customFormat="false" ht="15" hidden="false" customHeight="false" outlineLevel="0" collapsed="false">
      <c r="F30" s="12" t="s">
        <v>131</v>
      </c>
    </row>
    <row r="31" customFormat="false" ht="15" hidden="false" customHeight="false" outlineLevel="0" collapsed="false">
      <c r="F31" s="12" t="s">
        <v>133</v>
      </c>
    </row>
    <row r="32" customFormat="false" ht="15" hidden="false" customHeight="false" outlineLevel="0" collapsed="false">
      <c r="F32" s="12" t="s">
        <v>135</v>
      </c>
    </row>
    <row r="33" customFormat="false" ht="15" hidden="false" customHeight="false" outlineLevel="0" collapsed="false">
      <c r="F33" s="12" t="s">
        <v>137</v>
      </c>
    </row>
    <row r="34" customFormat="false" ht="15" hidden="false" customHeight="false" outlineLevel="0" collapsed="false">
      <c r="F34" s="12" t="s">
        <v>139</v>
      </c>
    </row>
    <row r="35" customFormat="false" ht="15" hidden="false" customHeight="false" outlineLevel="0" collapsed="false">
      <c r="F35" s="12" t="s">
        <v>141</v>
      </c>
    </row>
    <row r="36" customFormat="false" ht="15" hidden="false" customHeight="false" outlineLevel="0" collapsed="false">
      <c r="F36" s="12" t="s">
        <v>143</v>
      </c>
    </row>
    <row r="37" customFormat="false" ht="15" hidden="false" customHeight="false" outlineLevel="0" collapsed="false">
      <c r="F37" s="12" t="s">
        <v>145</v>
      </c>
    </row>
    <row r="38" customFormat="false" ht="15" hidden="false" customHeight="false" outlineLevel="0" collapsed="false">
      <c r="F38" s="12" t="s">
        <v>147</v>
      </c>
    </row>
    <row r="39" customFormat="false" ht="15" hidden="false" customHeight="false" outlineLevel="0" collapsed="false">
      <c r="F39" s="12" t="s">
        <v>149</v>
      </c>
    </row>
    <row r="40" customFormat="false" ht="15" hidden="false" customHeight="false" outlineLevel="0" collapsed="false">
      <c r="F40" s="12" t="s">
        <v>151</v>
      </c>
    </row>
    <row r="41" customFormat="false" ht="15" hidden="false" customHeight="false" outlineLevel="0" collapsed="false">
      <c r="F41" s="12" t="s">
        <v>153</v>
      </c>
    </row>
    <row r="42" customFormat="false" ht="15" hidden="false" customHeight="false" outlineLevel="0" collapsed="false">
      <c r="F42" s="12" t="s">
        <v>1375</v>
      </c>
    </row>
    <row r="43" customFormat="false" ht="15" hidden="false" customHeight="false" outlineLevel="0" collapsed="false">
      <c r="F43" s="12" t="s">
        <v>159</v>
      </c>
    </row>
    <row r="44" customFormat="false" ht="15" hidden="false" customHeight="false" outlineLevel="0" collapsed="false">
      <c r="F44" s="12" t="s">
        <v>162</v>
      </c>
    </row>
    <row r="45" customFormat="false" ht="15" hidden="false" customHeight="false" outlineLevel="0" collapsed="false">
      <c r="F45" s="12" t="s">
        <v>164</v>
      </c>
    </row>
    <row r="46" customFormat="false" ht="15" hidden="false" customHeight="false" outlineLevel="0" collapsed="false">
      <c r="F46" s="12" t="s">
        <v>166</v>
      </c>
    </row>
    <row r="47" customFormat="false" ht="15" hidden="false" customHeight="false" outlineLevel="0" collapsed="false">
      <c r="F47" s="12" t="s">
        <v>168</v>
      </c>
    </row>
    <row r="48" customFormat="false" ht="15" hidden="false" customHeight="false" outlineLevel="0" collapsed="false">
      <c r="F48" s="12" t="s">
        <v>170</v>
      </c>
    </row>
    <row r="49" customFormat="false" ht="15" hidden="false" customHeight="false" outlineLevel="0" collapsed="false">
      <c r="F49" s="12" t="s">
        <v>172</v>
      </c>
    </row>
    <row r="50" customFormat="false" ht="15" hidden="false" customHeight="false" outlineLevel="0" collapsed="false">
      <c r="F50" s="12" t="s">
        <v>174</v>
      </c>
    </row>
    <row r="51" customFormat="false" ht="15" hidden="false" customHeight="false" outlineLevel="0" collapsed="false">
      <c r="F51" s="12" t="s">
        <v>176</v>
      </c>
    </row>
    <row r="52" customFormat="false" ht="15" hidden="false" customHeight="false" outlineLevel="0" collapsed="false">
      <c r="F52" s="12" t="s">
        <v>178</v>
      </c>
    </row>
    <row r="53" customFormat="false" ht="15" hidden="false" customHeight="false" outlineLevel="0" collapsed="false">
      <c r="F53" s="12" t="s">
        <v>180</v>
      </c>
    </row>
    <row r="54" customFormat="false" ht="15" hidden="false" customHeight="false" outlineLevel="0" collapsed="false">
      <c r="F54" s="12" t="s">
        <v>182</v>
      </c>
    </row>
    <row r="55" customFormat="false" ht="15" hidden="false" customHeight="false" outlineLevel="0" collapsed="false">
      <c r="F55" s="12" t="s">
        <v>184</v>
      </c>
    </row>
    <row r="56" customFormat="false" ht="15" hidden="false" customHeight="false" outlineLevel="0" collapsed="false">
      <c r="A56" s="12" t="s">
        <v>33</v>
      </c>
      <c r="B56" s="12" t="s">
        <v>34</v>
      </c>
      <c r="C56" s="12" t="s">
        <v>1373</v>
      </c>
      <c r="D56" s="12" t="s">
        <v>1373</v>
      </c>
      <c r="E56" s="12" t="s">
        <v>1374</v>
      </c>
      <c r="F56" s="12" t="s">
        <v>153</v>
      </c>
    </row>
    <row r="57" customFormat="false" ht="15" hidden="false" customHeight="false" outlineLevel="0" collapsed="false">
      <c r="F57" s="12" t="s">
        <v>188</v>
      </c>
    </row>
    <row r="58" customFormat="false" ht="15" hidden="false" customHeight="false" outlineLevel="0" collapsed="false">
      <c r="F58" s="12" t="s">
        <v>190</v>
      </c>
    </row>
    <row r="59" customFormat="false" ht="15" hidden="false" customHeight="false" outlineLevel="0" collapsed="false">
      <c r="F59" s="12" t="s">
        <v>192</v>
      </c>
    </row>
    <row r="60" customFormat="false" ht="15" hidden="false" customHeight="false" outlineLevel="0" collapsed="false">
      <c r="F60" s="12" t="s">
        <v>195</v>
      </c>
      <c r="G60" s="12" t="s">
        <v>196</v>
      </c>
    </row>
    <row r="64" customFormat="false" ht="15" hidden="false" customHeight="false" outlineLevel="0" collapsed="false">
      <c r="A64" s="12" t="s">
        <v>36</v>
      </c>
      <c r="B64" s="12" t="s">
        <v>37</v>
      </c>
      <c r="C64" s="12" t="s">
        <v>1373</v>
      </c>
      <c r="D64" s="12" t="s">
        <v>1373</v>
      </c>
      <c r="E64" s="12" t="s">
        <v>1374</v>
      </c>
      <c r="F64" s="12" t="s">
        <v>198</v>
      </c>
    </row>
    <row r="65" customFormat="false" ht="15" hidden="false" customHeight="false" outlineLevel="0" collapsed="false">
      <c r="F65" s="12" t="s">
        <v>200</v>
      </c>
    </row>
    <row r="66" customFormat="false" ht="15" hidden="false" customHeight="false" outlineLevel="0" collapsed="false">
      <c r="F66" s="12" t="s">
        <v>202</v>
      </c>
    </row>
    <row r="67" customFormat="false" ht="15" hidden="false" customHeight="false" outlineLevel="0" collapsed="false">
      <c r="A67" s="12" t="s">
        <v>39</v>
      </c>
      <c r="B67" s="12" t="s">
        <v>40</v>
      </c>
      <c r="C67" s="12" t="s">
        <v>1373</v>
      </c>
      <c r="D67" s="12" t="s">
        <v>1373</v>
      </c>
      <c r="E67" s="12" t="s">
        <v>1374</v>
      </c>
      <c r="F67" s="12" t="s">
        <v>204</v>
      </c>
    </row>
    <row r="68" customFormat="false" ht="15" hidden="false" customHeight="false" outlineLevel="0" collapsed="false">
      <c r="A68" s="12" t="s">
        <v>42</v>
      </c>
      <c r="B68" s="12" t="s">
        <v>43</v>
      </c>
      <c r="F68" s="12" t="s">
        <v>207</v>
      </c>
    </row>
    <row r="69" customFormat="false" ht="15" hidden="false" customHeight="false" outlineLevel="0" collapsed="false">
      <c r="F69" s="12" t="s">
        <v>209</v>
      </c>
    </row>
    <row r="70" customFormat="false" ht="15" hidden="false" customHeight="false" outlineLevel="0" collapsed="false">
      <c r="F70" s="12" t="s">
        <v>212</v>
      </c>
      <c r="G70" s="12" t="s">
        <v>213</v>
      </c>
    </row>
    <row r="71" customFormat="false" ht="15" hidden="false" customHeight="false" outlineLevel="0" collapsed="false">
      <c r="A71" s="12" t="s">
        <v>45</v>
      </c>
      <c r="B71" s="12" t="s">
        <v>46</v>
      </c>
      <c r="C71" s="12" t="s">
        <v>1373</v>
      </c>
      <c r="D71" s="12" t="s">
        <v>1373</v>
      </c>
      <c r="E71" s="12" t="s">
        <v>1374</v>
      </c>
      <c r="F71" s="12" t="s">
        <v>215</v>
      </c>
    </row>
    <row r="72" customFormat="false" ht="15" hidden="false" customHeight="false" outlineLevel="0" collapsed="false">
      <c r="F72" s="12" t="s">
        <v>217</v>
      </c>
    </row>
    <row r="73" customFormat="false" ht="15" hidden="false" customHeight="false" outlineLevel="0" collapsed="false">
      <c r="F73" s="12" t="s">
        <v>219</v>
      </c>
    </row>
    <row r="74" customFormat="false" ht="15" hidden="false" customHeight="false" outlineLevel="0" collapsed="false">
      <c r="F74" s="12" t="s">
        <v>221</v>
      </c>
    </row>
    <row r="75" customFormat="false" ht="15" hidden="false" customHeight="false" outlineLevel="0" collapsed="false">
      <c r="F75" s="12" t="s">
        <v>223</v>
      </c>
    </row>
    <row r="76" customFormat="false" ht="15" hidden="false" customHeight="false" outlineLevel="0" collapsed="false">
      <c r="F76" s="12" t="s">
        <v>225</v>
      </c>
    </row>
    <row r="77" customFormat="false" ht="15" hidden="false" customHeight="false" outlineLevel="0" collapsed="false">
      <c r="F77" s="12" t="s">
        <v>227</v>
      </c>
    </row>
    <row r="78" customFormat="false" ht="15" hidden="false" customHeight="false" outlineLevel="0" collapsed="false">
      <c r="F78" s="12" t="s">
        <v>229</v>
      </c>
    </row>
    <row r="79" customFormat="false" ht="15" hidden="false" customHeight="false" outlineLevel="0" collapsed="false">
      <c r="F79" s="12" t="s">
        <v>231</v>
      </c>
    </row>
    <row r="80" customFormat="false" ht="15" hidden="false" customHeight="false" outlineLevel="0" collapsed="false">
      <c r="F80" s="12" t="s">
        <v>233</v>
      </c>
    </row>
    <row r="81" customFormat="false" ht="15" hidden="false" customHeight="false" outlineLevel="0" collapsed="false">
      <c r="F81" s="12" t="s">
        <v>235</v>
      </c>
    </row>
    <row r="82" customFormat="false" ht="15" hidden="false" customHeight="false" outlineLevel="0" collapsed="false">
      <c r="F82" s="12" t="s">
        <v>237</v>
      </c>
    </row>
    <row r="83" customFormat="false" ht="15" hidden="false" customHeight="false" outlineLevel="0" collapsed="false">
      <c r="F83" s="12" t="s">
        <v>239</v>
      </c>
    </row>
    <row r="84" customFormat="false" ht="15" hidden="false" customHeight="false" outlineLevel="0" collapsed="false">
      <c r="A84" s="12" t="s">
        <v>48</v>
      </c>
      <c r="B84" s="12" t="s">
        <v>49</v>
      </c>
      <c r="C84" s="12" t="s">
        <v>1373</v>
      </c>
      <c r="D84" s="12" t="s">
        <v>1373</v>
      </c>
      <c r="E84" s="12" t="s">
        <v>1374</v>
      </c>
      <c r="F84" s="12" t="s">
        <v>241</v>
      </c>
    </row>
    <row r="85" customFormat="false" ht="15" hidden="false" customHeight="false" outlineLevel="0" collapsed="false">
      <c r="F85" s="12" t="s">
        <v>243</v>
      </c>
    </row>
    <row r="86" customFormat="false" ht="15" hidden="false" customHeight="false" outlineLevel="0" collapsed="false">
      <c r="F86" s="12" t="s">
        <v>245</v>
      </c>
    </row>
    <row r="87" customFormat="false" ht="15" hidden="false" customHeight="false" outlineLevel="0" collapsed="false">
      <c r="F87" s="12" t="s">
        <v>247</v>
      </c>
    </row>
    <row r="88" customFormat="false" ht="15" hidden="false" customHeight="false" outlineLevel="0" collapsed="false">
      <c r="F88" s="12" t="s">
        <v>250</v>
      </c>
    </row>
    <row r="89" customFormat="false" ht="15" hidden="false" customHeight="false" outlineLevel="0" collapsed="false">
      <c r="F89" s="12" t="s">
        <v>252</v>
      </c>
    </row>
    <row r="90" customFormat="false" ht="15" hidden="false" customHeight="false" outlineLevel="0" collapsed="false">
      <c r="F90" s="12" t="s">
        <v>254</v>
      </c>
    </row>
    <row r="91" customFormat="false" ht="15" hidden="false" customHeight="false" outlineLevel="0" collapsed="false">
      <c r="A91" s="12" t="s">
        <v>51</v>
      </c>
      <c r="B91" s="12" t="s">
        <v>52</v>
      </c>
      <c r="C91" s="12" t="s">
        <v>1373</v>
      </c>
      <c r="D91" s="12" t="s">
        <v>1373</v>
      </c>
      <c r="E91" s="12" t="s">
        <v>1374</v>
      </c>
      <c r="F91" s="12" t="s">
        <v>256</v>
      </c>
    </row>
    <row r="92" customFormat="false" ht="15" hidden="false" customHeight="false" outlineLevel="0" collapsed="false">
      <c r="F92" s="12" t="s">
        <v>259</v>
      </c>
    </row>
    <row r="93" customFormat="false" ht="15" hidden="false" customHeight="false" outlineLevel="0" collapsed="false">
      <c r="A93" s="12" t="s">
        <v>54</v>
      </c>
      <c r="B93" s="12" t="s">
        <v>54</v>
      </c>
      <c r="C93" s="12" t="s">
        <v>1373</v>
      </c>
      <c r="D93" s="12" t="s">
        <v>1373</v>
      </c>
      <c r="E93" s="12" t="s">
        <v>1374</v>
      </c>
      <c r="F93" s="12" t="s">
        <v>262</v>
      </c>
    </row>
    <row r="94" customFormat="false" ht="15" hidden="false" customHeight="false" outlineLevel="0" collapsed="false">
      <c r="F94" s="12" t="s">
        <v>265</v>
      </c>
    </row>
    <row r="95" customFormat="false" ht="15" hidden="false" customHeight="false" outlineLevel="0" collapsed="false">
      <c r="A95" s="12" t="s">
        <v>56</v>
      </c>
      <c r="B95" s="12" t="s">
        <v>57</v>
      </c>
      <c r="C95" s="12" t="s">
        <v>1373</v>
      </c>
      <c r="D95" s="12" t="s">
        <v>1373</v>
      </c>
      <c r="E95" s="12" t="s">
        <v>1374</v>
      </c>
      <c r="F95" s="12" t="s">
        <v>268</v>
      </c>
    </row>
    <row r="96" customFormat="false" ht="15" hidden="false" customHeight="false" outlineLevel="0" collapsed="false">
      <c r="F96" s="12" t="s">
        <v>270</v>
      </c>
    </row>
    <row r="97" customFormat="false" ht="15" hidden="false" customHeight="false" outlineLevel="0" collapsed="false">
      <c r="F97" s="12" t="s">
        <v>1375</v>
      </c>
    </row>
    <row r="98" customFormat="false" ht="15" hidden="false" customHeight="false" outlineLevel="0" collapsed="false">
      <c r="A98" s="12" t="s">
        <v>59</v>
      </c>
      <c r="B98" s="12" t="s">
        <v>1376</v>
      </c>
      <c r="C98" s="12" t="s">
        <v>1373</v>
      </c>
      <c r="D98" s="12" t="s">
        <v>1373</v>
      </c>
      <c r="E98" s="12" t="s">
        <v>1374</v>
      </c>
      <c r="F98" s="12" t="s">
        <v>274</v>
      </c>
    </row>
    <row r="99" customFormat="false" ht="15" hidden="false" customHeight="false" outlineLevel="0" collapsed="false">
      <c r="A99" s="12" t="s">
        <v>62</v>
      </c>
      <c r="B99" s="12" t="s">
        <v>63</v>
      </c>
      <c r="C99" s="12" t="s">
        <v>1373</v>
      </c>
      <c r="D99" s="12" t="s">
        <v>1373</v>
      </c>
      <c r="E99" s="12" t="s">
        <v>1374</v>
      </c>
      <c r="F99" s="12" t="s">
        <v>276</v>
      </c>
    </row>
    <row r="100" customFormat="false" ht="15" hidden="false" customHeight="false" outlineLevel="0" collapsed="false">
      <c r="F100" s="12" t="s">
        <v>278</v>
      </c>
    </row>
    <row r="101" customFormat="false" ht="15" hidden="false" customHeight="false" outlineLevel="0" collapsed="false">
      <c r="F101" s="12" t="s">
        <v>280</v>
      </c>
    </row>
    <row r="102" customFormat="false" ht="15" hidden="false" customHeight="false" outlineLevel="0" collapsed="false">
      <c r="F102" s="12" t="s">
        <v>282</v>
      </c>
    </row>
    <row r="103" customFormat="false" ht="15" hidden="false" customHeight="false" outlineLevel="0" collapsed="false">
      <c r="F103" s="12" t="s">
        <v>284</v>
      </c>
    </row>
    <row r="104" customFormat="false" ht="15" hidden="false" customHeight="false" outlineLevel="0" collapsed="false">
      <c r="F104" s="12" t="s">
        <v>286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30"/>
  </cols>
  <sheetData>
    <row r="1" customFormat="false" ht="15" hidden="false" customHeight="false" outlineLevel="0" collapsed="false">
      <c r="A1" s="12" t="s">
        <v>66</v>
      </c>
      <c r="B1" s="12" t="s">
        <v>1377</v>
      </c>
      <c r="C1" s="12" t="s">
        <v>1378</v>
      </c>
    </row>
    <row r="2" customFormat="false" ht="15" hidden="false" customHeight="false" outlineLevel="0" collapsed="false">
      <c r="A2" s="12" t="s">
        <v>289</v>
      </c>
      <c r="B2" s="12" t="s">
        <v>288</v>
      </c>
      <c r="C2" s="12" t="s">
        <v>290</v>
      </c>
    </row>
    <row r="3" customFormat="false" ht="15" hidden="false" customHeight="false" outlineLevel="0" collapsed="false">
      <c r="A3" s="12" t="s">
        <v>295</v>
      </c>
      <c r="B3" s="12" t="s">
        <v>294</v>
      </c>
      <c r="C3" s="12" t="s">
        <v>296</v>
      </c>
    </row>
    <row r="4" customFormat="false" ht="15" hidden="false" customHeight="false" outlineLevel="0" collapsed="false">
      <c r="A4" s="12" t="s">
        <v>295</v>
      </c>
      <c r="B4" s="12" t="s">
        <v>299</v>
      </c>
      <c r="C4" s="12" t="s">
        <v>296</v>
      </c>
    </row>
    <row r="5" customFormat="false" ht="15" hidden="false" customHeight="false" outlineLevel="0" collapsed="false">
      <c r="A5" s="12" t="s">
        <v>302</v>
      </c>
      <c r="B5" s="12" t="s">
        <v>301</v>
      </c>
      <c r="C5" s="12" t="s">
        <v>303</v>
      </c>
    </row>
    <row r="6" customFormat="false" ht="15" hidden="false" customHeight="false" outlineLevel="0" collapsed="false">
      <c r="A6" s="12" t="s">
        <v>289</v>
      </c>
      <c r="B6" s="12" t="s">
        <v>1379</v>
      </c>
      <c r="C6" s="12" t="s">
        <v>307</v>
      </c>
    </row>
    <row r="7" customFormat="false" ht="15" hidden="false" customHeight="false" outlineLevel="0" collapsed="false">
      <c r="A7" s="12" t="s">
        <v>310</v>
      </c>
      <c r="B7" s="12" t="s">
        <v>1380</v>
      </c>
      <c r="C7" s="12" t="s">
        <v>307</v>
      </c>
    </row>
    <row r="8" customFormat="false" ht="15" hidden="false" customHeight="false" outlineLevel="0" collapsed="false">
      <c r="A8" s="12" t="s">
        <v>310</v>
      </c>
      <c r="B8" s="12" t="s">
        <v>1381</v>
      </c>
      <c r="C8" s="12" t="s">
        <v>307</v>
      </c>
    </row>
    <row r="9" customFormat="false" ht="15" hidden="false" customHeight="false" outlineLevel="0" collapsed="false">
      <c r="A9" s="12" t="s">
        <v>310</v>
      </c>
      <c r="B9" s="12" t="s">
        <v>1382</v>
      </c>
      <c r="C9" s="12" t="s">
        <v>307</v>
      </c>
    </row>
    <row r="10" customFormat="false" ht="15" hidden="false" customHeight="false" outlineLevel="0" collapsed="false">
      <c r="A10" s="12" t="s">
        <v>310</v>
      </c>
      <c r="B10" s="12" t="s">
        <v>1383</v>
      </c>
      <c r="C10" s="12" t="s">
        <v>307</v>
      </c>
    </row>
    <row r="11" customFormat="false" ht="15" hidden="false" customHeight="false" outlineLevel="0" collapsed="false">
      <c r="A11" s="12" t="s">
        <v>310</v>
      </c>
      <c r="B11" s="12" t="s">
        <v>1384</v>
      </c>
      <c r="C11" s="12" t="s">
        <v>307</v>
      </c>
    </row>
    <row r="12" customFormat="false" ht="15" hidden="false" customHeight="false" outlineLevel="0" collapsed="false">
      <c r="A12" s="12" t="s">
        <v>310</v>
      </c>
      <c r="B12" s="12" t="s">
        <v>1385</v>
      </c>
      <c r="C12" s="12" t="s">
        <v>307</v>
      </c>
    </row>
    <row r="13" customFormat="false" ht="15" hidden="false" customHeight="false" outlineLevel="0" collapsed="false">
      <c r="A13" s="12" t="s">
        <v>310</v>
      </c>
      <c r="B13" s="12" t="s">
        <v>1386</v>
      </c>
      <c r="C13" s="12" t="s">
        <v>307</v>
      </c>
    </row>
    <row r="14" customFormat="false" ht="15" hidden="false" customHeight="false" outlineLevel="0" collapsed="false">
      <c r="A14" s="12" t="s">
        <v>325</v>
      </c>
      <c r="B14" s="12" t="s">
        <v>324</v>
      </c>
      <c r="C14" s="12" t="s">
        <v>326</v>
      </c>
    </row>
    <row r="15" customFormat="false" ht="15" hidden="false" customHeight="false" outlineLevel="0" collapsed="false">
      <c r="A15" s="12" t="s">
        <v>330</v>
      </c>
      <c r="B15" s="12" t="s">
        <v>329</v>
      </c>
      <c r="C15" s="12" t="s">
        <v>331</v>
      </c>
    </row>
    <row r="16" customFormat="false" ht="15" hidden="false" customHeight="false" outlineLevel="0" collapsed="false">
      <c r="A16" s="12" t="s">
        <v>295</v>
      </c>
      <c r="B16" s="12" t="s">
        <v>334</v>
      </c>
      <c r="C16" s="12" t="s">
        <v>331</v>
      </c>
    </row>
    <row r="17" customFormat="false" ht="15" hidden="false" customHeight="false" outlineLevel="0" collapsed="false">
      <c r="A17" s="12" t="s">
        <v>337</v>
      </c>
      <c r="B17" s="12" t="s">
        <v>336</v>
      </c>
      <c r="C17" s="12" t="s">
        <v>338</v>
      </c>
    </row>
    <row r="18" customFormat="false" ht="15" hidden="false" customHeight="false" outlineLevel="0" collapsed="false">
      <c r="A18" s="12" t="s">
        <v>342</v>
      </c>
      <c r="B18" s="12" t="s">
        <v>341</v>
      </c>
      <c r="C18" s="12" t="s">
        <v>343</v>
      </c>
    </row>
    <row r="19" customFormat="false" ht="15" hidden="false" customHeight="false" outlineLevel="0" collapsed="false">
      <c r="A19" s="12" t="s">
        <v>347</v>
      </c>
      <c r="B19" s="12" t="s">
        <v>346</v>
      </c>
      <c r="C19" s="12" t="s">
        <v>331</v>
      </c>
    </row>
    <row r="20" customFormat="false" ht="15" hidden="false" customHeight="false" outlineLevel="0" collapsed="false">
      <c r="A20" s="12" t="s">
        <v>350</v>
      </c>
      <c r="B20" s="12" t="s">
        <v>349</v>
      </c>
      <c r="C20" s="12" t="s">
        <v>310</v>
      </c>
    </row>
    <row r="21" customFormat="false" ht="15" hidden="false" customHeight="false" outlineLevel="0" collapsed="false">
      <c r="A21" s="12" t="s">
        <v>295</v>
      </c>
      <c r="B21" s="12" t="s">
        <v>352</v>
      </c>
      <c r="C21" s="12" t="s">
        <v>353</v>
      </c>
    </row>
    <row r="22" customFormat="false" ht="15" hidden="false" customHeight="false" outlineLevel="0" collapsed="false">
      <c r="A22" s="12" t="s">
        <v>295</v>
      </c>
      <c r="B22" s="12" t="s">
        <v>355</v>
      </c>
      <c r="C22" s="12" t="s">
        <v>353</v>
      </c>
    </row>
    <row r="23" customFormat="false" ht="15" hidden="false" customHeight="false" outlineLevel="0" collapsed="false">
      <c r="A23" s="12" t="s">
        <v>358</v>
      </c>
      <c r="B23" s="12" t="s">
        <v>357</v>
      </c>
      <c r="C23" s="12" t="s">
        <v>359</v>
      </c>
    </row>
    <row r="24" customFormat="false" ht="15" hidden="false" customHeight="false" outlineLevel="0" collapsed="false">
      <c r="A24" s="12" t="s">
        <v>362</v>
      </c>
      <c r="B24" s="12" t="s">
        <v>361</v>
      </c>
      <c r="C24" s="12" t="s">
        <v>359</v>
      </c>
    </row>
    <row r="25" customFormat="false" ht="15" hidden="false" customHeight="false" outlineLevel="0" collapsed="false">
      <c r="A25" s="12" t="s">
        <v>365</v>
      </c>
      <c r="B25" s="12" t="s">
        <v>364</v>
      </c>
      <c r="C25" s="12" t="s">
        <v>359</v>
      </c>
    </row>
    <row r="26" customFormat="false" ht="15" hidden="false" customHeight="false" outlineLevel="0" collapsed="false">
      <c r="A26" s="12" t="s">
        <v>368</v>
      </c>
      <c r="B26" s="12" t="s">
        <v>367</v>
      </c>
      <c r="C26" s="12" t="s">
        <v>359</v>
      </c>
    </row>
    <row r="27" customFormat="false" ht="15" hidden="false" customHeight="false" outlineLevel="0" collapsed="false">
      <c r="A27" s="12" t="s">
        <v>371</v>
      </c>
      <c r="B27" s="12" t="s">
        <v>370</v>
      </c>
      <c r="C27" s="12" t="s">
        <v>359</v>
      </c>
    </row>
    <row r="28" customFormat="false" ht="15" hidden="false" customHeight="false" outlineLevel="0" collapsed="false">
      <c r="A28" s="12" t="s">
        <v>376</v>
      </c>
      <c r="B28" s="12" t="s">
        <v>375</v>
      </c>
      <c r="C28" s="12" t="s">
        <v>359</v>
      </c>
    </row>
    <row r="29" customFormat="false" ht="15" hidden="false" customHeight="false" outlineLevel="0" collapsed="false">
      <c r="A29" s="12" t="s">
        <v>295</v>
      </c>
      <c r="B29" s="12" t="s">
        <v>378</v>
      </c>
      <c r="C29" s="12" t="s">
        <v>359</v>
      </c>
    </row>
    <row r="30" customFormat="false" ht="15" hidden="false" customHeight="false" outlineLevel="0" collapsed="false">
      <c r="A30" s="12" t="s">
        <v>381</v>
      </c>
      <c r="B30" s="12" t="s">
        <v>380</v>
      </c>
      <c r="C30" s="12" t="s">
        <v>359</v>
      </c>
    </row>
    <row r="31" customFormat="false" ht="15" hidden="false" customHeight="false" outlineLevel="0" collapsed="false">
      <c r="A31" s="12" t="s">
        <v>384</v>
      </c>
      <c r="B31" s="12" t="s">
        <v>383</v>
      </c>
      <c r="C31" s="12" t="s">
        <v>359</v>
      </c>
    </row>
    <row r="32" customFormat="false" ht="15" hidden="false" customHeight="false" outlineLevel="0" collapsed="false">
      <c r="A32" s="12" t="s">
        <v>387</v>
      </c>
      <c r="B32" s="12" t="s">
        <v>386</v>
      </c>
      <c r="C32" s="12" t="s">
        <v>359</v>
      </c>
    </row>
    <row r="33" customFormat="false" ht="15" hidden="false" customHeight="false" outlineLevel="0" collapsed="false">
      <c r="A33" s="12" t="s">
        <v>295</v>
      </c>
      <c r="B33" s="12" t="s">
        <v>389</v>
      </c>
      <c r="C33" s="12" t="s">
        <v>390</v>
      </c>
    </row>
    <row r="34" customFormat="false" ht="15" hidden="false" customHeight="false" outlineLevel="0" collapsed="false">
      <c r="A34" s="12" t="s">
        <v>393</v>
      </c>
      <c r="B34" s="12" t="s">
        <v>392</v>
      </c>
      <c r="C34" s="12" t="s">
        <v>394</v>
      </c>
    </row>
    <row r="35" customFormat="false" ht="15" hidden="false" customHeight="false" outlineLevel="0" collapsed="false">
      <c r="A35" s="12" t="s">
        <v>397</v>
      </c>
      <c r="B35" s="12" t="s">
        <v>396</v>
      </c>
      <c r="C35" s="12" t="s">
        <v>398</v>
      </c>
    </row>
    <row r="36" customFormat="false" ht="15" hidden="false" customHeight="false" outlineLevel="0" collapsed="false">
      <c r="A36" s="12" t="s">
        <v>402</v>
      </c>
      <c r="B36" s="12" t="s">
        <v>401</v>
      </c>
      <c r="C36" s="12" t="s">
        <v>398</v>
      </c>
    </row>
    <row r="37" customFormat="false" ht="15" hidden="false" customHeight="false" outlineLevel="0" collapsed="false">
      <c r="A37" s="12" t="s">
        <v>405</v>
      </c>
      <c r="B37" s="12" t="s">
        <v>404</v>
      </c>
      <c r="C37" s="12" t="s">
        <v>406</v>
      </c>
    </row>
    <row r="38" customFormat="false" ht="15" hidden="false" customHeight="false" outlineLevel="0" collapsed="false">
      <c r="A38" s="12" t="s">
        <v>410</v>
      </c>
      <c r="B38" s="12" t="s">
        <v>409</v>
      </c>
      <c r="C38" s="12" t="s">
        <v>411</v>
      </c>
    </row>
    <row r="39" customFormat="false" ht="15" hidden="false" customHeight="false" outlineLevel="0" collapsed="false">
      <c r="A39" s="12" t="s">
        <v>414</v>
      </c>
      <c r="B39" s="12" t="s">
        <v>413</v>
      </c>
      <c r="C39" s="12" t="s">
        <v>415</v>
      </c>
    </row>
    <row r="40" customFormat="false" ht="15" hidden="false" customHeight="false" outlineLevel="0" collapsed="false">
      <c r="A40" s="12" t="s">
        <v>295</v>
      </c>
      <c r="B40" s="12" t="s">
        <v>417</v>
      </c>
      <c r="C40" s="12" t="s">
        <v>331</v>
      </c>
    </row>
    <row r="41" customFormat="false" ht="15" hidden="false" customHeight="false" outlineLevel="0" collapsed="false">
      <c r="A41" s="12" t="s">
        <v>295</v>
      </c>
      <c r="B41" s="12" t="s">
        <v>419</v>
      </c>
      <c r="C41" s="12" t="s">
        <v>331</v>
      </c>
    </row>
    <row r="42" customFormat="false" ht="15" hidden="false" customHeight="false" outlineLevel="0" collapsed="false">
      <c r="A42" s="12" t="s">
        <v>422</v>
      </c>
      <c r="B42" s="12" t="s">
        <v>421</v>
      </c>
      <c r="C42" s="12" t="s">
        <v>331</v>
      </c>
    </row>
    <row r="43" customFormat="false" ht="15" hidden="false" customHeight="false" outlineLevel="0" collapsed="false">
      <c r="A43" s="12" t="s">
        <v>426</v>
      </c>
      <c r="B43" s="12" t="s">
        <v>425</v>
      </c>
      <c r="C43" s="12" t="s">
        <v>411</v>
      </c>
    </row>
    <row r="44" customFormat="false" ht="15" hidden="false" customHeight="false" outlineLevel="0" collapsed="false">
      <c r="A44" s="12" t="s">
        <v>430</v>
      </c>
      <c r="B44" s="12" t="s">
        <v>429</v>
      </c>
      <c r="C44" s="12" t="s">
        <v>431</v>
      </c>
    </row>
    <row r="45" customFormat="false" ht="15" hidden="false" customHeight="false" outlineLevel="0" collapsed="false">
      <c r="A45" s="12" t="s">
        <v>434</v>
      </c>
      <c r="B45" s="12" t="s">
        <v>433</v>
      </c>
      <c r="C45" s="12" t="s">
        <v>398</v>
      </c>
    </row>
    <row r="46" customFormat="false" ht="15" hidden="false" customHeight="false" outlineLevel="0" collapsed="false">
      <c r="A46" s="12" t="s">
        <v>295</v>
      </c>
      <c r="B46" s="12" t="s">
        <v>436</v>
      </c>
      <c r="C46" s="12" t="s">
        <v>359</v>
      </c>
    </row>
    <row r="47" customFormat="false" ht="15" hidden="false" customHeight="false" outlineLevel="0" collapsed="false">
      <c r="A47" s="12" t="s">
        <v>439</v>
      </c>
      <c r="B47" s="12" t="s">
        <v>438</v>
      </c>
      <c r="C47" s="12" t="s">
        <v>398</v>
      </c>
    </row>
    <row r="48" customFormat="false" ht="15" hidden="false" customHeight="false" outlineLevel="0" collapsed="false">
      <c r="A48" s="12" t="s">
        <v>295</v>
      </c>
      <c r="B48" s="12" t="s">
        <v>442</v>
      </c>
      <c r="C48" s="12" t="s">
        <v>411</v>
      </c>
    </row>
    <row r="49" customFormat="false" ht="15" hidden="false" customHeight="false" outlineLevel="0" collapsed="false">
      <c r="A49" s="12" t="s">
        <v>445</v>
      </c>
      <c r="B49" s="12" t="s">
        <v>444</v>
      </c>
      <c r="C49" s="12" t="s">
        <v>446</v>
      </c>
    </row>
    <row r="50" customFormat="false" ht="15" hidden="false" customHeight="false" outlineLevel="0" collapsed="false">
      <c r="A50" s="12" t="s">
        <v>449</v>
      </c>
      <c r="B50" s="12" t="s">
        <v>448</v>
      </c>
      <c r="C50" s="12" t="s">
        <v>1387</v>
      </c>
    </row>
    <row r="51" customFormat="false" ht="15" hidden="false" customHeight="false" outlineLevel="0" collapsed="false">
      <c r="A51" s="12" t="s">
        <v>1388</v>
      </c>
      <c r="B51" s="12" t="s">
        <v>454</v>
      </c>
      <c r="C51" s="12" t="s">
        <v>456</v>
      </c>
    </row>
    <row r="52" customFormat="false" ht="15" hidden="false" customHeight="false" outlineLevel="0" collapsed="false">
      <c r="A52" s="12" t="s">
        <v>460</v>
      </c>
      <c r="B52" s="12" t="s">
        <v>459</v>
      </c>
      <c r="C52" s="12" t="s">
        <v>398</v>
      </c>
    </row>
    <row r="53" customFormat="false" ht="15" hidden="false" customHeight="false" outlineLevel="0" collapsed="false">
      <c r="A53" s="12" t="s">
        <v>463</v>
      </c>
      <c r="B53" s="12" t="s">
        <v>462</v>
      </c>
      <c r="C53" s="12" t="s">
        <v>398</v>
      </c>
    </row>
    <row r="54" customFormat="false" ht="15" hidden="false" customHeight="false" outlineLevel="0" collapsed="false">
      <c r="A54" s="12" t="s">
        <v>466</v>
      </c>
      <c r="B54" s="12" t="s">
        <v>465</v>
      </c>
      <c r="C54" s="12" t="s">
        <v>467</v>
      </c>
    </row>
    <row r="55" customFormat="false" ht="15" hidden="false" customHeight="false" outlineLevel="0" collapsed="false">
      <c r="A55" s="12" t="s">
        <v>471</v>
      </c>
      <c r="B55" s="12" t="s">
        <v>470</v>
      </c>
      <c r="C55" s="12" t="s">
        <v>398</v>
      </c>
    </row>
    <row r="56" customFormat="false" ht="15" hidden="false" customHeight="false" outlineLevel="0" collapsed="false">
      <c r="A56" s="12" t="s">
        <v>474</v>
      </c>
      <c r="B56" s="12" t="s">
        <v>470</v>
      </c>
      <c r="C56" s="12" t="s">
        <v>398</v>
      </c>
    </row>
    <row r="57" customFormat="false" ht="15" hidden="false" customHeight="false" outlineLevel="0" collapsed="false">
      <c r="A57" s="12" t="s">
        <v>295</v>
      </c>
      <c r="B57" s="12" t="s">
        <v>477</v>
      </c>
      <c r="C57" s="12" t="s">
        <v>478</v>
      </c>
    </row>
    <row r="58" customFormat="false" ht="15" hidden="false" customHeight="false" outlineLevel="0" collapsed="false">
      <c r="A58" s="12" t="s">
        <v>295</v>
      </c>
      <c r="B58" s="12" t="s">
        <v>481</v>
      </c>
      <c r="C58" s="12" t="s">
        <v>482</v>
      </c>
    </row>
    <row r="59" customFormat="false" ht="15" hidden="false" customHeight="false" outlineLevel="0" collapsed="false">
      <c r="A59" s="12" t="s">
        <v>350</v>
      </c>
      <c r="B59" s="12" t="s">
        <v>484</v>
      </c>
      <c r="C59" s="12" t="s">
        <v>485</v>
      </c>
    </row>
    <row r="60" customFormat="false" ht="15" hidden="false" customHeight="false" outlineLevel="0" collapsed="false">
      <c r="A60" s="12" t="s">
        <v>488</v>
      </c>
      <c r="B60" s="12" t="s">
        <v>487</v>
      </c>
      <c r="C60" s="12" t="s">
        <v>398</v>
      </c>
    </row>
    <row r="61" customFormat="false" ht="15" hidden="false" customHeight="false" outlineLevel="0" collapsed="false">
      <c r="A61" s="12" t="s">
        <v>491</v>
      </c>
      <c r="B61" s="12" t="s">
        <v>490</v>
      </c>
      <c r="C61" s="12" t="s">
        <v>1</v>
      </c>
    </row>
    <row r="62" customFormat="false" ht="15" hidden="false" customHeight="false" outlineLevel="0" collapsed="false">
      <c r="A62" s="12" t="s">
        <v>494</v>
      </c>
      <c r="B62" s="12" t="s">
        <v>493</v>
      </c>
      <c r="C62" s="12" t="s">
        <v>495</v>
      </c>
    </row>
    <row r="63" customFormat="false" ht="15" hidden="false" customHeight="false" outlineLevel="0" collapsed="false">
      <c r="A63" s="12" t="s">
        <v>295</v>
      </c>
      <c r="B63" s="12" t="s">
        <v>497</v>
      </c>
      <c r="C63" s="12" t="s">
        <v>359</v>
      </c>
    </row>
    <row r="64" customFormat="false" ht="15" hidden="false" customHeight="false" outlineLevel="0" collapsed="false">
      <c r="A64" s="12" t="s">
        <v>500</v>
      </c>
      <c r="B64" s="12" t="s">
        <v>499</v>
      </c>
      <c r="C64" s="12" t="s">
        <v>16</v>
      </c>
    </row>
    <row r="65" customFormat="false" ht="15" hidden="false" customHeight="false" outlineLevel="0" collapsed="false">
      <c r="A65" s="12" t="s">
        <v>503</v>
      </c>
      <c r="B65" s="12" t="s">
        <v>502</v>
      </c>
      <c r="C65" s="12" t="s">
        <v>331</v>
      </c>
    </row>
    <row r="66" customFormat="false" ht="15" hidden="false" customHeight="false" outlineLevel="0" collapsed="false">
      <c r="A66" s="12" t="s">
        <v>507</v>
      </c>
      <c r="B66" s="12" t="s">
        <v>506</v>
      </c>
      <c r="C66" s="12" t="s">
        <v>331</v>
      </c>
    </row>
    <row r="67" customFormat="false" ht="15" hidden="false" customHeight="false" outlineLevel="0" collapsed="false">
      <c r="A67" s="12" t="s">
        <v>510</v>
      </c>
      <c r="B67" s="12" t="s">
        <v>509</v>
      </c>
      <c r="C67" s="12" t="s">
        <v>331</v>
      </c>
    </row>
    <row r="68" customFormat="false" ht="15" hidden="false" customHeight="false" outlineLevel="0" collapsed="false">
      <c r="A68" s="12" t="s">
        <v>1389</v>
      </c>
      <c r="B68" s="12" t="s">
        <v>512</v>
      </c>
      <c r="C68" s="12" t="s">
        <v>331</v>
      </c>
    </row>
    <row r="69" customFormat="false" ht="15" hidden="false" customHeight="false" outlineLevel="0" collapsed="false">
      <c r="A69" s="12" t="s">
        <v>516</v>
      </c>
      <c r="B69" s="12" t="s">
        <v>515</v>
      </c>
      <c r="C69" s="12" t="s">
        <v>398</v>
      </c>
    </row>
    <row r="70" customFormat="false" ht="15" hidden="false" customHeight="false" outlineLevel="0" collapsed="false">
      <c r="A70" s="12" t="s">
        <v>516</v>
      </c>
      <c r="B70" s="12" t="s">
        <v>518</v>
      </c>
      <c r="C70" s="12" t="s">
        <v>519</v>
      </c>
    </row>
    <row r="71" customFormat="false" ht="15" hidden="false" customHeight="false" outlineLevel="0" collapsed="false">
      <c r="A71" s="12" t="s">
        <v>295</v>
      </c>
      <c r="B71" s="12" t="s">
        <v>521</v>
      </c>
      <c r="C71" s="12" t="s">
        <v>522</v>
      </c>
    </row>
    <row r="72" customFormat="false" ht="15" hidden="false" customHeight="false" outlineLevel="0" collapsed="false">
      <c r="A72" s="12" t="s">
        <v>526</v>
      </c>
      <c r="B72" s="12" t="s">
        <v>525</v>
      </c>
      <c r="C72" s="12" t="s">
        <v>16</v>
      </c>
    </row>
    <row r="73" customFormat="false" ht="15" hidden="false" customHeight="false" outlineLevel="0" collapsed="false">
      <c r="A73" s="12" t="s">
        <v>530</v>
      </c>
      <c r="B73" s="12" t="s">
        <v>529</v>
      </c>
      <c r="C73" s="12" t="s">
        <v>331</v>
      </c>
    </row>
    <row r="74" customFormat="false" ht="15" hidden="false" customHeight="false" outlineLevel="0" collapsed="false">
      <c r="A74" s="12" t="s">
        <v>295</v>
      </c>
      <c r="B74" s="12" t="s">
        <v>532</v>
      </c>
      <c r="C74" s="12" t="s">
        <v>411</v>
      </c>
    </row>
    <row r="75" customFormat="false" ht="15" hidden="false" customHeight="false" outlineLevel="0" collapsed="false">
      <c r="A75" s="12" t="s">
        <v>536</v>
      </c>
      <c r="B75" s="12" t="s">
        <v>535</v>
      </c>
      <c r="C75" s="12" t="s">
        <v>359</v>
      </c>
    </row>
    <row r="76" customFormat="false" ht="15" hidden="false" customHeight="false" outlineLevel="0" collapsed="false">
      <c r="A76" s="12" t="s">
        <v>295</v>
      </c>
      <c r="B76" s="12" t="s">
        <v>532</v>
      </c>
      <c r="C76" s="12" t="s">
        <v>538</v>
      </c>
    </row>
    <row r="77" customFormat="false" ht="15" hidden="false" customHeight="false" outlineLevel="0" collapsed="false">
      <c r="A77" s="12" t="s">
        <v>542</v>
      </c>
      <c r="B77" s="12" t="s">
        <v>541</v>
      </c>
      <c r="C77" s="12" t="s">
        <v>353</v>
      </c>
    </row>
    <row r="78" customFormat="false" ht="15" hidden="false" customHeight="false" outlineLevel="0" collapsed="false">
      <c r="A78" s="12" t="s">
        <v>295</v>
      </c>
      <c r="B78" s="12" t="s">
        <v>545</v>
      </c>
      <c r="C78" s="12" t="s">
        <v>546</v>
      </c>
    </row>
    <row r="79" customFormat="false" ht="15" hidden="false" customHeight="false" outlineLevel="0" collapsed="false">
      <c r="A79" s="12" t="s">
        <v>295</v>
      </c>
      <c r="B79" s="12" t="s">
        <v>548</v>
      </c>
      <c r="C79" s="12" t="s">
        <v>549</v>
      </c>
    </row>
    <row r="80" customFormat="false" ht="15" hidden="false" customHeight="false" outlineLevel="0" collapsed="false">
      <c r="A80" s="12" t="s">
        <v>295</v>
      </c>
      <c r="B80" s="12" t="s">
        <v>551</v>
      </c>
      <c r="C80" s="12" t="s">
        <v>552</v>
      </c>
    </row>
    <row r="81" customFormat="false" ht="15" hidden="false" customHeight="false" outlineLevel="0" collapsed="false">
      <c r="A81" s="12" t="s">
        <v>295</v>
      </c>
      <c r="B81" s="12" t="s">
        <v>555</v>
      </c>
      <c r="C81" s="12" t="s">
        <v>556</v>
      </c>
    </row>
    <row r="82" customFormat="false" ht="15" hidden="false" customHeight="false" outlineLevel="0" collapsed="false">
      <c r="A82" s="12" t="s">
        <v>295</v>
      </c>
      <c r="B82" s="12" t="s">
        <v>559</v>
      </c>
      <c r="C82" s="12" t="s">
        <v>560</v>
      </c>
    </row>
    <row r="83" customFormat="false" ht="15" hidden="false" customHeight="false" outlineLevel="0" collapsed="false">
      <c r="A83" s="12" t="s">
        <v>295</v>
      </c>
      <c r="B83" s="12" t="s">
        <v>562</v>
      </c>
      <c r="C83" s="12" t="s">
        <v>563</v>
      </c>
    </row>
    <row r="84" customFormat="false" ht="15" hidden="false" customHeight="false" outlineLevel="0" collapsed="false">
      <c r="A84" s="12" t="s">
        <v>567</v>
      </c>
      <c r="B84" s="12" t="s">
        <v>566</v>
      </c>
      <c r="C84" s="12" t="s">
        <v>568</v>
      </c>
    </row>
    <row r="85" customFormat="false" ht="15" hidden="false" customHeight="false" outlineLevel="0" collapsed="false">
      <c r="A85" s="12" t="s">
        <v>571</v>
      </c>
      <c r="B85" s="12" t="s">
        <v>570</v>
      </c>
      <c r="C85" s="12" t="s">
        <v>572</v>
      </c>
    </row>
    <row r="86" customFormat="false" ht="15" hidden="false" customHeight="false" outlineLevel="0" collapsed="false">
      <c r="A86" s="12" t="s">
        <v>414</v>
      </c>
      <c r="B86" s="12" t="s">
        <v>575</v>
      </c>
      <c r="C86" s="12" t="s">
        <v>359</v>
      </c>
    </row>
    <row r="87" customFormat="false" ht="15" hidden="false" customHeight="false" outlineLevel="0" collapsed="false">
      <c r="A87" s="12" t="s">
        <v>414</v>
      </c>
      <c r="B87" s="12" t="s">
        <v>577</v>
      </c>
      <c r="C87" s="12" t="s">
        <v>578</v>
      </c>
    </row>
    <row r="88" customFormat="false" ht="15" hidden="false" customHeight="false" outlineLevel="0" collapsed="false">
      <c r="A88" s="12" t="s">
        <v>295</v>
      </c>
      <c r="B88" s="12" t="s">
        <v>581</v>
      </c>
      <c r="C88" s="12" t="s">
        <v>582</v>
      </c>
    </row>
    <row r="89" customFormat="false" ht="15" hidden="false" customHeight="false" outlineLevel="0" collapsed="false">
      <c r="A89" s="12" t="s">
        <v>586</v>
      </c>
      <c r="B89" s="12" t="s">
        <v>585</v>
      </c>
      <c r="C89" s="12" t="s">
        <v>359</v>
      </c>
    </row>
    <row r="90" customFormat="false" ht="15" hidden="false" customHeight="false" outlineLevel="0" collapsed="false">
      <c r="A90" s="12" t="s">
        <v>589</v>
      </c>
      <c r="B90" s="12" t="s">
        <v>588</v>
      </c>
      <c r="C90" s="12" t="s">
        <v>590</v>
      </c>
    </row>
    <row r="91" customFormat="false" ht="15" hidden="false" customHeight="false" outlineLevel="0" collapsed="false">
      <c r="A91" s="12" t="s">
        <v>586</v>
      </c>
      <c r="B91" s="12" t="s">
        <v>592</v>
      </c>
      <c r="C91" s="12" t="s">
        <v>560</v>
      </c>
    </row>
    <row r="92" customFormat="false" ht="15" hidden="false" customHeight="false" outlineLevel="0" collapsed="false">
      <c r="A92" s="12" t="s">
        <v>586</v>
      </c>
      <c r="B92" s="12" t="s">
        <v>594</v>
      </c>
      <c r="C92" s="12" t="s">
        <v>560</v>
      </c>
    </row>
    <row r="93" customFormat="false" ht="15" hidden="false" customHeight="false" outlineLevel="0" collapsed="false">
      <c r="A93" s="12" t="s">
        <v>295</v>
      </c>
      <c r="B93" s="12" t="s">
        <v>596</v>
      </c>
      <c r="C93" s="12" t="s">
        <v>597</v>
      </c>
    </row>
    <row r="94" customFormat="false" ht="15" hidden="false" customHeight="false" outlineLevel="0" collapsed="false">
      <c r="A94" s="12" t="s">
        <v>586</v>
      </c>
      <c r="B94" s="12" t="s">
        <v>599</v>
      </c>
      <c r="C94" s="12" t="s">
        <v>359</v>
      </c>
    </row>
    <row r="95" customFormat="false" ht="15" hidden="false" customHeight="false" outlineLevel="0" collapsed="false">
      <c r="A95" s="12" t="s">
        <v>602</v>
      </c>
      <c r="B95" s="12" t="s">
        <v>601</v>
      </c>
      <c r="C95" s="12" t="s">
        <v>603</v>
      </c>
    </row>
    <row r="96" customFormat="false" ht="15" hidden="false" customHeight="false" outlineLevel="0" collapsed="false">
      <c r="A96" s="12" t="s">
        <v>606</v>
      </c>
      <c r="B96" s="12" t="s">
        <v>605</v>
      </c>
      <c r="C96" s="12" t="s">
        <v>607</v>
      </c>
    </row>
    <row r="97" customFormat="false" ht="15" hidden="false" customHeight="false" outlineLevel="0" collapsed="false">
      <c r="A97" s="12" t="s">
        <v>611</v>
      </c>
      <c r="B97" s="12" t="s">
        <v>610</v>
      </c>
      <c r="C97" s="12" t="s">
        <v>612</v>
      </c>
    </row>
    <row r="98" customFormat="false" ht="15" hidden="false" customHeight="false" outlineLevel="0" collapsed="false">
      <c r="A98" s="12" t="s">
        <v>616</v>
      </c>
      <c r="B98" s="12" t="s">
        <v>615</v>
      </c>
      <c r="C98" s="12" t="s">
        <v>617</v>
      </c>
    </row>
    <row r="99" customFormat="false" ht="15" hidden="false" customHeight="false" outlineLevel="0" collapsed="false">
      <c r="A99" s="12" t="s">
        <v>621</v>
      </c>
      <c r="B99" s="12" t="s">
        <v>620</v>
      </c>
      <c r="C99" s="12" t="s">
        <v>622</v>
      </c>
    </row>
    <row r="100" customFormat="false" ht="15" hidden="false" customHeight="false" outlineLevel="0" collapsed="false">
      <c r="A100" s="12" t="s">
        <v>295</v>
      </c>
      <c r="B100" s="12" t="s">
        <v>624</v>
      </c>
      <c r="C100" s="12" t="s">
        <v>331</v>
      </c>
    </row>
    <row r="101" customFormat="false" ht="15" hidden="false" customHeight="false" outlineLevel="0" collapsed="false">
      <c r="A101" s="12" t="s">
        <v>295</v>
      </c>
      <c r="B101" s="12" t="s">
        <v>626</v>
      </c>
      <c r="C101" s="12" t="s">
        <v>627</v>
      </c>
    </row>
    <row r="102" customFormat="false" ht="15" hidden="false" customHeight="false" outlineLevel="0" collapsed="false">
      <c r="A102" s="12" t="s">
        <v>295</v>
      </c>
      <c r="B102" s="12" t="s">
        <v>630</v>
      </c>
      <c r="C102" s="12" t="s">
        <v>631</v>
      </c>
    </row>
    <row r="103" customFormat="false" ht="15" hidden="false" customHeight="false" outlineLevel="0" collapsed="false">
      <c r="A103" s="12" t="s">
        <v>636</v>
      </c>
      <c r="B103" s="12" t="s">
        <v>635</v>
      </c>
      <c r="C103" s="12" t="s">
        <v>637</v>
      </c>
    </row>
    <row r="104" customFormat="false" ht="15" hidden="false" customHeight="false" outlineLevel="0" collapsed="false">
      <c r="A104" s="12" t="s">
        <v>640</v>
      </c>
      <c r="B104" s="12" t="s">
        <v>639</v>
      </c>
      <c r="C104" s="12" t="s">
        <v>641</v>
      </c>
    </row>
    <row r="105" customFormat="false" ht="15" hidden="false" customHeight="false" outlineLevel="0" collapsed="false">
      <c r="A105" s="12" t="s">
        <v>295</v>
      </c>
      <c r="B105" s="12" t="s">
        <v>643</v>
      </c>
      <c r="C105" s="12" t="s">
        <v>644</v>
      </c>
    </row>
    <row r="106" customFormat="false" ht="15" hidden="false" customHeight="false" outlineLevel="0" collapsed="false">
      <c r="A106" s="12" t="s">
        <v>648</v>
      </c>
      <c r="B106" s="12" t="s">
        <v>647</v>
      </c>
      <c r="C106" s="12" t="s">
        <v>649</v>
      </c>
    </row>
    <row r="107" customFormat="false" ht="15" hidden="false" customHeight="false" outlineLevel="0" collapsed="false">
      <c r="A107" s="12" t="s">
        <v>653</v>
      </c>
      <c r="B107" s="12" t="s">
        <v>652</v>
      </c>
      <c r="C107" s="12" t="s">
        <v>654</v>
      </c>
    </row>
    <row r="108" customFormat="false" ht="15" hidden="false" customHeight="false" outlineLevel="0" collapsed="false">
      <c r="A108" s="12" t="s">
        <v>658</v>
      </c>
      <c r="B108" s="12" t="s">
        <v>657</v>
      </c>
      <c r="C108" s="12" t="s">
        <v>659</v>
      </c>
    </row>
    <row r="109" customFormat="false" ht="15" hidden="false" customHeight="false" outlineLevel="0" collapsed="false">
      <c r="A109" s="12" t="s">
        <v>664</v>
      </c>
      <c r="B109" s="12" t="s">
        <v>663</v>
      </c>
      <c r="C109" s="12" t="s">
        <v>665</v>
      </c>
    </row>
    <row r="110" customFormat="false" ht="15" hidden="false" customHeight="false" outlineLevel="0" collapsed="false">
      <c r="A110" s="12" t="s">
        <v>669</v>
      </c>
      <c r="B110" s="12" t="s">
        <v>668</v>
      </c>
      <c r="C110" s="12" t="s">
        <v>670</v>
      </c>
    </row>
    <row r="111" customFormat="false" ht="15" hidden="false" customHeight="false" outlineLevel="0" collapsed="false">
      <c r="A111" s="12" t="s">
        <v>674</v>
      </c>
      <c r="B111" s="12" t="s">
        <v>673</v>
      </c>
      <c r="C111" s="12" t="s">
        <v>675</v>
      </c>
    </row>
    <row r="112" customFormat="false" ht="15" hidden="false" customHeight="false" outlineLevel="0" collapsed="false">
      <c r="A112" s="12" t="s">
        <v>678</v>
      </c>
      <c r="B112" s="12" t="s">
        <v>677</v>
      </c>
      <c r="C112" s="12" t="s">
        <v>679</v>
      </c>
    </row>
    <row r="113" customFormat="false" ht="15" hidden="false" customHeight="false" outlineLevel="0" collapsed="false">
      <c r="A113" s="12" t="s">
        <v>682</v>
      </c>
      <c r="B113" s="12" t="s">
        <v>681</v>
      </c>
      <c r="C113" s="12" t="s">
        <v>683</v>
      </c>
    </row>
    <row r="114" customFormat="false" ht="15" hidden="false" customHeight="false" outlineLevel="0" collapsed="false">
      <c r="A114" s="12" t="s">
        <v>686</v>
      </c>
      <c r="B114" s="12" t="s">
        <v>685</v>
      </c>
      <c r="C114" s="12" t="s">
        <v>687</v>
      </c>
    </row>
    <row r="115" customFormat="false" ht="15" hidden="false" customHeight="false" outlineLevel="0" collapsed="false">
      <c r="A115" s="12" t="s">
        <v>691</v>
      </c>
      <c r="B115" s="12" t="s">
        <v>690</v>
      </c>
      <c r="C115" s="12" t="s">
        <v>692</v>
      </c>
    </row>
    <row r="116" customFormat="false" ht="15" hidden="false" customHeight="false" outlineLevel="0" collapsed="false">
      <c r="A116" s="12" t="s">
        <v>695</v>
      </c>
      <c r="B116" s="12" t="s">
        <v>694</v>
      </c>
      <c r="C116" s="12" t="s">
        <v>696</v>
      </c>
    </row>
    <row r="117" customFormat="false" ht="15" hidden="false" customHeight="false" outlineLevel="0" collapsed="false">
      <c r="A117" s="12" t="s">
        <v>699</v>
      </c>
      <c r="B117" s="12" t="s">
        <v>698</v>
      </c>
      <c r="C117" s="12" t="s">
        <v>700</v>
      </c>
    </row>
    <row r="118" customFormat="false" ht="15" hidden="false" customHeight="false" outlineLevel="0" collapsed="false">
      <c r="A118" s="12" t="s">
        <v>703</v>
      </c>
      <c r="B118" s="12" t="s">
        <v>702</v>
      </c>
      <c r="C118" s="12" t="s">
        <v>704</v>
      </c>
    </row>
    <row r="119" customFormat="false" ht="15" hidden="false" customHeight="false" outlineLevel="0" collapsed="false">
      <c r="A119" s="12" t="s">
        <v>707</v>
      </c>
      <c r="B119" s="12" t="s">
        <v>706</v>
      </c>
      <c r="C119" s="12" t="s">
        <v>708</v>
      </c>
    </row>
    <row r="120" customFormat="false" ht="15" hidden="false" customHeight="false" outlineLevel="0" collapsed="false">
      <c r="A120" s="12" t="s">
        <v>295</v>
      </c>
      <c r="B120" s="12" t="s">
        <v>710</v>
      </c>
      <c r="C120" s="12" t="s">
        <v>711</v>
      </c>
    </row>
    <row r="121" customFormat="false" ht="15" hidden="false" customHeight="false" outlineLevel="0" collapsed="false">
      <c r="A121" s="12" t="s">
        <v>714</v>
      </c>
      <c r="B121" s="12" t="s">
        <v>713</v>
      </c>
      <c r="C121" s="12" t="s">
        <v>715</v>
      </c>
    </row>
    <row r="122" customFormat="false" ht="15" hidden="false" customHeight="false" outlineLevel="0" collapsed="false">
      <c r="A122" s="12" t="s">
        <v>719</v>
      </c>
      <c r="B122" s="12" t="s">
        <v>718</v>
      </c>
      <c r="C122" s="12" t="s">
        <v>720</v>
      </c>
    </row>
    <row r="123" customFormat="false" ht="15" hidden="false" customHeight="false" outlineLevel="0" collapsed="false">
      <c r="A123" s="12" t="s">
        <v>1390</v>
      </c>
      <c r="B123" s="12" t="s">
        <v>722</v>
      </c>
      <c r="C123" s="12" t="s">
        <v>723</v>
      </c>
    </row>
    <row r="124" customFormat="false" ht="15" hidden="false" customHeight="false" outlineLevel="0" collapsed="false">
      <c r="A124" s="12" t="s">
        <v>726</v>
      </c>
      <c r="B124" s="12" t="s">
        <v>725</v>
      </c>
      <c r="C124" s="12" t="s">
        <v>727</v>
      </c>
    </row>
    <row r="125" customFormat="false" ht="15" hidden="false" customHeight="false" outlineLevel="0" collapsed="false">
      <c r="A125" s="12" t="s">
        <v>730</v>
      </c>
      <c r="B125" s="12" t="s">
        <v>729</v>
      </c>
      <c r="C125" s="12" t="s">
        <v>731</v>
      </c>
    </row>
    <row r="126" customFormat="false" ht="15" hidden="false" customHeight="false" outlineLevel="0" collapsed="false">
      <c r="A126" s="12" t="s">
        <v>734</v>
      </c>
      <c r="B126" s="12" t="s">
        <v>733</v>
      </c>
      <c r="C126" s="12" t="s">
        <v>735</v>
      </c>
    </row>
    <row r="127" customFormat="false" ht="15" hidden="false" customHeight="false" outlineLevel="0" collapsed="false">
      <c r="A127" s="12" t="s">
        <v>738</v>
      </c>
      <c r="B127" s="12" t="s">
        <v>737</v>
      </c>
      <c r="C127" s="12" t="s">
        <v>739</v>
      </c>
    </row>
    <row r="128" customFormat="false" ht="15" hidden="false" customHeight="false" outlineLevel="0" collapsed="false">
      <c r="A128" s="12" t="s">
        <v>742</v>
      </c>
      <c r="B128" s="12" t="s">
        <v>741</v>
      </c>
      <c r="C128" s="12" t="s">
        <v>743</v>
      </c>
    </row>
    <row r="129" customFormat="false" ht="15" hidden="false" customHeight="false" outlineLevel="0" collapsed="false">
      <c r="A129" s="12" t="s">
        <v>746</v>
      </c>
      <c r="B129" s="12" t="s">
        <v>745</v>
      </c>
      <c r="C129" s="12" t="s">
        <v>747</v>
      </c>
    </row>
    <row r="130" customFormat="false" ht="15" hidden="false" customHeight="false" outlineLevel="0" collapsed="false">
      <c r="A130" s="12" t="s">
        <v>750</v>
      </c>
      <c r="B130" s="12" t="s">
        <v>749</v>
      </c>
      <c r="C130" s="12" t="s">
        <v>751</v>
      </c>
    </row>
    <row r="131" customFormat="false" ht="15" hidden="false" customHeight="false" outlineLevel="0" collapsed="false">
      <c r="A131" s="12" t="s">
        <v>669</v>
      </c>
      <c r="B131" s="12" t="s">
        <v>668</v>
      </c>
      <c r="C131" s="12" t="s">
        <v>670</v>
      </c>
    </row>
    <row r="132" customFormat="false" ht="15" hidden="false" customHeight="false" outlineLevel="0" collapsed="false">
      <c r="A132" s="12" t="s">
        <v>674</v>
      </c>
      <c r="B132" s="12" t="s">
        <v>673</v>
      </c>
      <c r="C132" s="12" t="s">
        <v>675</v>
      </c>
    </row>
    <row r="133" customFormat="false" ht="15" hidden="false" customHeight="false" outlineLevel="0" collapsed="false">
      <c r="A133" s="12" t="s">
        <v>678</v>
      </c>
      <c r="B133" s="12" t="s">
        <v>677</v>
      </c>
      <c r="C133" s="12" t="s">
        <v>679</v>
      </c>
    </row>
    <row r="134" customFormat="false" ht="15" hidden="false" customHeight="false" outlineLevel="0" collapsed="false">
      <c r="A134" s="12" t="s">
        <v>682</v>
      </c>
      <c r="B134" s="12" t="s">
        <v>681</v>
      </c>
      <c r="C134" s="12" t="s">
        <v>683</v>
      </c>
    </row>
    <row r="135" customFormat="false" ht="15" hidden="false" customHeight="false" outlineLevel="0" collapsed="false">
      <c r="A135" s="12" t="s">
        <v>686</v>
      </c>
      <c r="B135" s="12" t="s">
        <v>685</v>
      </c>
      <c r="C135" s="12" t="s">
        <v>687</v>
      </c>
    </row>
    <row r="136" customFormat="false" ht="15" hidden="false" customHeight="false" outlineLevel="0" collapsed="false">
      <c r="A136" s="12" t="s">
        <v>754</v>
      </c>
      <c r="B136" s="12" t="s">
        <v>753</v>
      </c>
      <c r="C136" s="12" t="s">
        <v>659</v>
      </c>
    </row>
    <row r="137" customFormat="false" ht="15" hidden="false" customHeight="false" outlineLevel="0" collapsed="false">
      <c r="A137" s="12" t="s">
        <v>757</v>
      </c>
      <c r="B137" s="12" t="s">
        <v>756</v>
      </c>
      <c r="C137" s="12" t="s">
        <v>758</v>
      </c>
    </row>
    <row r="138" customFormat="false" ht="15" hidden="false" customHeight="false" outlineLevel="0" collapsed="false">
      <c r="A138" s="12" t="s">
        <v>761</v>
      </c>
      <c r="B138" s="12" t="s">
        <v>760</v>
      </c>
      <c r="C138" s="12" t="s">
        <v>762</v>
      </c>
    </row>
    <row r="139" customFormat="false" ht="15" hidden="false" customHeight="false" outlineLevel="0" collapsed="false">
      <c r="A139" s="12" t="s">
        <v>765</v>
      </c>
      <c r="B139" s="12" t="s">
        <v>764</v>
      </c>
      <c r="C139" s="12" t="s">
        <v>766</v>
      </c>
    </row>
    <row r="140" customFormat="false" ht="15" hidden="false" customHeight="false" outlineLevel="0" collapsed="false">
      <c r="A140" s="12" t="s">
        <v>769</v>
      </c>
      <c r="B140" s="12" t="s">
        <v>768</v>
      </c>
      <c r="C140" s="12" t="s">
        <v>766</v>
      </c>
    </row>
    <row r="141" customFormat="false" ht="15" hidden="false" customHeight="false" outlineLevel="0" collapsed="false">
      <c r="A141" s="12" t="s">
        <v>772</v>
      </c>
      <c r="B141" s="12" t="s">
        <v>771</v>
      </c>
      <c r="C141" s="12" t="s">
        <v>773</v>
      </c>
    </row>
    <row r="142" customFormat="false" ht="15" hidden="false" customHeight="false" outlineLevel="0" collapsed="false">
      <c r="A142" s="12" t="s">
        <v>1391</v>
      </c>
      <c r="B142" s="12" t="s">
        <v>776</v>
      </c>
      <c r="C142" s="12" t="s">
        <v>359</v>
      </c>
    </row>
    <row r="143" customFormat="false" ht="15" hidden="false" customHeight="false" outlineLevel="0" collapsed="false">
      <c r="A143" s="12" t="s">
        <v>779</v>
      </c>
      <c r="B143" s="12" t="s">
        <v>778</v>
      </c>
      <c r="C143" s="12" t="s">
        <v>359</v>
      </c>
    </row>
    <row r="144" customFormat="false" ht="15" hidden="false" customHeight="false" outlineLevel="0" collapsed="false">
      <c r="A144" s="12" t="s">
        <v>295</v>
      </c>
      <c r="B144" s="12" t="s">
        <v>781</v>
      </c>
      <c r="C144" s="12" t="s">
        <v>359</v>
      </c>
    </row>
    <row r="145" customFormat="false" ht="15" hidden="false" customHeight="false" outlineLevel="0" collapsed="false">
      <c r="A145" s="12" t="s">
        <v>783</v>
      </c>
      <c r="B145" s="12" t="s">
        <v>204</v>
      </c>
      <c r="C145" s="12" t="s">
        <v>784</v>
      </c>
    </row>
    <row r="146" customFormat="false" ht="15" hidden="false" customHeight="false" outlineLevel="0" collapsed="false">
      <c r="A146" s="12" t="s">
        <v>1392</v>
      </c>
      <c r="B146" s="12" t="s">
        <v>788</v>
      </c>
      <c r="C146" s="12" t="s">
        <v>1393</v>
      </c>
    </row>
    <row r="147" customFormat="false" ht="15" hidden="false" customHeight="false" outlineLevel="0" collapsed="false">
      <c r="A147" s="12" t="s">
        <v>793</v>
      </c>
      <c r="B147" s="12" t="s">
        <v>792</v>
      </c>
      <c r="C147" s="12" t="s">
        <v>794</v>
      </c>
    </row>
    <row r="148" customFormat="false" ht="15" hidden="false" customHeight="false" outlineLevel="0" collapsed="false">
      <c r="A148" s="12" t="s">
        <v>798</v>
      </c>
      <c r="B148" s="12" t="s">
        <v>797</v>
      </c>
      <c r="C148" s="12" t="s">
        <v>1394</v>
      </c>
    </row>
    <row r="149" customFormat="false" ht="15" hidden="false" customHeight="false" outlineLevel="0" collapsed="false">
      <c r="A149" s="12" t="s">
        <v>1395</v>
      </c>
      <c r="B149" s="12" t="s">
        <v>801</v>
      </c>
      <c r="C149" s="12" t="s">
        <v>803</v>
      </c>
    </row>
    <row r="150" customFormat="false" ht="15" hidden="false" customHeight="false" outlineLevel="0" collapsed="false">
      <c r="A150" s="13" t="s">
        <v>807</v>
      </c>
      <c r="B150" s="13" t="s">
        <v>806</v>
      </c>
      <c r="C150" s="13" t="s">
        <v>1396</v>
      </c>
    </row>
    <row r="151" customFormat="false" ht="15" hidden="false" customHeight="false" outlineLevel="0" collapsed="false">
      <c r="A151" s="13"/>
      <c r="B151" s="13"/>
      <c r="C151" s="13"/>
    </row>
    <row r="152" customFormat="false" ht="15" hidden="false" customHeight="false" outlineLevel="0" collapsed="false">
      <c r="A152" s="13"/>
      <c r="B152" s="13"/>
      <c r="C152" s="13"/>
    </row>
    <row r="153" customFormat="false" ht="15" hidden="false" customHeight="false" outlineLevel="0" collapsed="false">
      <c r="A153" s="13"/>
      <c r="B153" s="13"/>
      <c r="C153" s="13"/>
    </row>
    <row r="154" customFormat="false" ht="15" hidden="false" customHeight="false" outlineLevel="0" collapsed="false">
      <c r="A154" s="13" t="s">
        <v>1397</v>
      </c>
      <c r="B154" s="13" t="s">
        <v>159</v>
      </c>
      <c r="C154" s="12" t="s">
        <v>1398</v>
      </c>
    </row>
    <row r="155" customFormat="false" ht="15" hidden="false" customHeight="false" outlineLevel="0" collapsed="false">
      <c r="A155" s="13"/>
      <c r="B155" s="13"/>
      <c r="C155" s="12" t="s">
        <v>1399</v>
      </c>
    </row>
    <row r="156" customFormat="false" ht="15" hidden="false" customHeight="false" outlineLevel="0" collapsed="false">
      <c r="A156" s="13"/>
      <c r="B156" s="13"/>
      <c r="C156" s="12" t="s">
        <v>1400</v>
      </c>
    </row>
    <row r="157" customFormat="false" ht="15" hidden="false" customHeight="false" outlineLevel="0" collapsed="false">
      <c r="A157" s="13"/>
      <c r="B157" s="13"/>
      <c r="C157" s="12" t="s">
        <v>1401</v>
      </c>
    </row>
    <row r="158" customFormat="false" ht="15" hidden="false" customHeight="false" outlineLevel="0" collapsed="false">
      <c r="A158" s="13"/>
      <c r="B158" s="13"/>
      <c r="C158" s="12" t="s">
        <v>1401</v>
      </c>
    </row>
    <row r="159" customFormat="false" ht="15" hidden="false" customHeight="false" outlineLevel="0" collapsed="false">
      <c r="A159" s="13"/>
      <c r="B159" s="13"/>
      <c r="C159" s="12" t="s">
        <v>1401</v>
      </c>
    </row>
    <row r="160" customFormat="false" ht="46.25" hidden="false" customHeight="false" outlineLevel="0" collapsed="false">
      <c r="A160" s="12" t="s">
        <v>816</v>
      </c>
      <c r="B160" s="12" t="s">
        <v>256</v>
      </c>
      <c r="C160" s="14" t="s">
        <v>817</v>
      </c>
    </row>
    <row r="161" customFormat="false" ht="23.85" hidden="false" customHeight="false" outlineLevel="0" collapsed="false">
      <c r="A161" s="12" t="s">
        <v>1402</v>
      </c>
      <c r="B161" s="12" t="s">
        <v>821</v>
      </c>
      <c r="C161" s="14" t="s">
        <v>1403</v>
      </c>
    </row>
    <row r="162" customFormat="false" ht="15" hidden="false" customHeight="false" outlineLevel="0" collapsed="false">
      <c r="A162" s="12" t="s">
        <v>826</v>
      </c>
      <c r="B162" s="12" t="s">
        <v>259</v>
      </c>
      <c r="C162" s="14" t="s">
        <v>827</v>
      </c>
    </row>
    <row r="163" customFormat="false" ht="15" hidden="false" customHeight="false" outlineLevel="0" collapsed="false">
      <c r="A163" s="12" t="s">
        <v>832</v>
      </c>
      <c r="B163" s="12" t="s">
        <v>831</v>
      </c>
      <c r="C163" s="14" t="s">
        <v>833</v>
      </c>
    </row>
    <row r="164" customFormat="false" ht="15" hidden="false" customHeight="false" outlineLevel="0" collapsed="false">
      <c r="A164" s="12" t="s">
        <v>1404</v>
      </c>
      <c r="B164" s="12" t="s">
        <v>835</v>
      </c>
      <c r="C164" s="12" t="s">
        <v>837</v>
      </c>
    </row>
    <row r="165" customFormat="false" ht="15" hidden="false" customHeight="false" outlineLevel="0" collapsed="false">
      <c r="A165" s="12" t="s">
        <v>840</v>
      </c>
      <c r="B165" s="12" t="s">
        <v>265</v>
      </c>
      <c r="C165" s="14" t="s">
        <v>1405</v>
      </c>
    </row>
    <row r="166" customFormat="false" ht="15" hidden="false" customHeight="false" outlineLevel="0" collapsed="false">
      <c r="A166" s="12" t="s">
        <v>846</v>
      </c>
      <c r="B166" s="12" t="s">
        <v>845</v>
      </c>
      <c r="C166" s="14" t="s">
        <v>847</v>
      </c>
    </row>
    <row r="167" customFormat="false" ht="15" hidden="false" customHeight="false" outlineLevel="0" collapsed="false">
      <c r="A167" s="12" t="s">
        <v>1406</v>
      </c>
      <c r="B167" s="12" t="s">
        <v>801</v>
      </c>
      <c r="C167" s="12" t="s">
        <v>851</v>
      </c>
    </row>
    <row r="168" customFormat="false" ht="15" hidden="false" customHeight="false" outlineLevel="0" collapsed="false">
      <c r="A168" s="12" t="s">
        <v>855</v>
      </c>
      <c r="B168" s="14" t="s">
        <v>1407</v>
      </c>
      <c r="C168" s="14" t="s">
        <v>1408</v>
      </c>
    </row>
    <row r="169" customFormat="false" ht="15" hidden="false" customHeight="false" outlineLevel="0" collapsed="false">
      <c r="A169" s="12" t="s">
        <v>862</v>
      </c>
      <c r="B169" s="12" t="s">
        <v>861</v>
      </c>
      <c r="C169" s="14" t="s">
        <v>863</v>
      </c>
    </row>
    <row r="170" customFormat="false" ht="15" hidden="false" customHeight="false" outlineLevel="0" collapsed="false">
      <c r="A170" s="12" t="s">
        <v>1409</v>
      </c>
      <c r="B170" s="12" t="s">
        <v>866</v>
      </c>
      <c r="C170" s="12" t="s">
        <v>868</v>
      </c>
    </row>
    <row r="171" customFormat="false" ht="15" hidden="false" customHeight="false" outlineLevel="0" collapsed="false">
      <c r="A171" s="12" t="s">
        <v>872</v>
      </c>
      <c r="B171" s="12" t="s">
        <v>871</v>
      </c>
      <c r="C171" s="14" t="s">
        <v>1410</v>
      </c>
    </row>
    <row r="172" customFormat="false" ht="15" hidden="false" customHeight="false" outlineLevel="0" collapsed="false">
      <c r="A172" s="12" t="s">
        <v>876</v>
      </c>
      <c r="B172" s="14" t="s">
        <v>1411</v>
      </c>
      <c r="C172" s="14" t="s">
        <v>877</v>
      </c>
    </row>
    <row r="173" customFormat="false" ht="15" hidden="false" customHeight="false" outlineLevel="0" collapsed="false">
      <c r="A173" s="12" t="s">
        <v>1412</v>
      </c>
      <c r="B173" s="12" t="s">
        <v>883</v>
      </c>
      <c r="C173" s="12" t="s">
        <v>885</v>
      </c>
    </row>
    <row r="174" customFormat="false" ht="15" hidden="false" customHeight="false" outlineLevel="0" collapsed="false">
      <c r="A174" s="12" t="s">
        <v>1413</v>
      </c>
      <c r="B174" s="12" t="s">
        <v>888</v>
      </c>
      <c r="C174" s="12" t="s">
        <v>1414</v>
      </c>
    </row>
    <row r="175" customFormat="false" ht="15" hidden="false" customHeight="false" outlineLevel="0" collapsed="false">
      <c r="A175" s="12" t="s">
        <v>1415</v>
      </c>
      <c r="B175" s="12" t="s">
        <v>1375</v>
      </c>
      <c r="C175" s="14" t="s">
        <v>1416</v>
      </c>
    </row>
    <row r="176" customFormat="false" ht="15" hidden="false" customHeight="false" outlineLevel="0" collapsed="false">
      <c r="A176" s="12" t="s">
        <v>897</v>
      </c>
      <c r="B176" s="12" t="s">
        <v>896</v>
      </c>
      <c r="C176" s="12" t="s">
        <v>1417</v>
      </c>
    </row>
    <row r="177" customFormat="false" ht="15" hidden="false" customHeight="false" outlineLevel="0" collapsed="false">
      <c r="A177" s="12" t="s">
        <v>901</v>
      </c>
      <c r="B177" s="12" t="s">
        <v>900</v>
      </c>
    </row>
    <row r="178" customFormat="false" ht="15" hidden="false" customHeight="false" outlineLevel="0" collapsed="false">
      <c r="A178" s="12" t="s">
        <v>1418</v>
      </c>
      <c r="B178" s="12" t="s">
        <v>192</v>
      </c>
      <c r="C178" s="14" t="s">
        <v>1419</v>
      </c>
    </row>
    <row r="179" customFormat="false" ht="15" hidden="false" customHeight="false" outlineLevel="0" collapsed="false">
      <c r="A179" s="12" t="s">
        <v>909</v>
      </c>
      <c r="B179" s="12" t="s">
        <v>908</v>
      </c>
      <c r="C179" s="14" t="s">
        <v>910</v>
      </c>
    </row>
    <row r="180" customFormat="false" ht="15" hidden="false" customHeight="false" outlineLevel="0" collapsed="false">
      <c r="A180" s="12" t="s">
        <v>914</v>
      </c>
      <c r="B180" s="12" t="s">
        <v>913</v>
      </c>
    </row>
    <row r="181" customFormat="false" ht="15" hidden="false" customHeight="false" outlineLevel="0" collapsed="false">
      <c r="A181" s="12" t="s">
        <v>918</v>
      </c>
      <c r="B181" s="12" t="s">
        <v>917</v>
      </c>
    </row>
    <row r="182" customFormat="false" ht="15" hidden="false" customHeight="false" outlineLevel="0" collapsed="false">
      <c r="A182" s="12" t="s">
        <v>922</v>
      </c>
      <c r="B182" s="12" t="s">
        <v>921</v>
      </c>
    </row>
    <row r="183" customFormat="false" ht="15" hidden="false" customHeight="false" outlineLevel="0" collapsed="false">
      <c r="A183" s="12" t="s">
        <v>926</v>
      </c>
      <c r="B183" s="12" t="s">
        <v>925</v>
      </c>
    </row>
    <row r="184" customFormat="false" ht="15" hidden="false" customHeight="false" outlineLevel="0" collapsed="false">
      <c r="A184" s="12" t="s">
        <v>930</v>
      </c>
      <c r="B184" s="12" t="s">
        <v>929</v>
      </c>
      <c r="C184" s="12" t="s">
        <v>931</v>
      </c>
    </row>
    <row r="185" customFormat="false" ht="15" hidden="false" customHeight="false" outlineLevel="0" collapsed="false">
      <c r="A185" s="12" t="s">
        <v>934</v>
      </c>
      <c r="B185" s="12" t="s">
        <v>933</v>
      </c>
      <c r="C185" s="12" t="s">
        <v>935</v>
      </c>
    </row>
    <row r="186" customFormat="false" ht="15" hidden="false" customHeight="false" outlineLevel="0" collapsed="false">
      <c r="A186" s="12" t="s">
        <v>939</v>
      </c>
      <c r="B186" s="12" t="s">
        <v>938</v>
      </c>
      <c r="C186" s="12" t="s">
        <v>940</v>
      </c>
    </row>
    <row r="187" customFormat="false" ht="15" hidden="false" customHeight="false" outlineLevel="0" collapsed="false">
      <c r="A187" s="12" t="s">
        <v>944</v>
      </c>
      <c r="B187" s="12" t="s">
        <v>943</v>
      </c>
      <c r="C187" s="12" t="s">
        <v>945</v>
      </c>
    </row>
    <row r="188" customFormat="false" ht="15" hidden="false" customHeight="false" outlineLevel="0" collapsed="false">
      <c r="A188" s="12" t="s">
        <v>949</v>
      </c>
      <c r="B188" s="12" t="s">
        <v>948</v>
      </c>
      <c r="C188" s="12" t="s">
        <v>950</v>
      </c>
    </row>
    <row r="189" customFormat="false" ht="15" hidden="false" customHeight="false" outlineLevel="0" collapsed="false">
      <c r="A189" s="12" t="s">
        <v>953</v>
      </c>
      <c r="B189" s="12" t="s">
        <v>1420</v>
      </c>
      <c r="C189" s="12" t="s">
        <v>954</v>
      </c>
    </row>
    <row r="190" customFormat="false" ht="15" hidden="false" customHeight="false" outlineLevel="0" collapsed="false">
      <c r="A190" s="12" t="s">
        <v>959</v>
      </c>
      <c r="B190" s="12" t="s">
        <v>958</v>
      </c>
      <c r="C190" s="12" t="s">
        <v>960</v>
      </c>
    </row>
    <row r="191" customFormat="false" ht="15" hidden="false" customHeight="false" outlineLevel="0" collapsed="false">
      <c r="A191" s="12" t="s">
        <v>964</v>
      </c>
      <c r="B191" s="12" t="s">
        <v>963</v>
      </c>
      <c r="C191" s="12" t="s">
        <v>965</v>
      </c>
    </row>
    <row r="192" customFormat="false" ht="15" hidden="false" customHeight="false" outlineLevel="0" collapsed="false">
      <c r="A192" s="12" t="s">
        <v>969</v>
      </c>
      <c r="B192" s="12" t="s">
        <v>968</v>
      </c>
      <c r="C192" s="12" t="s">
        <v>970</v>
      </c>
    </row>
    <row r="193" customFormat="false" ht="15" hidden="false" customHeight="false" outlineLevel="0" collapsed="false">
      <c r="A193" s="12" t="s">
        <v>974</v>
      </c>
      <c r="B193" s="12" t="s">
        <v>973</v>
      </c>
    </row>
    <row r="194" customFormat="false" ht="15" hidden="false" customHeight="false" outlineLevel="0" collapsed="false">
      <c r="A194" s="12" t="s">
        <v>977</v>
      </c>
      <c r="B194" s="12" t="s">
        <v>976</v>
      </c>
    </row>
    <row r="195" customFormat="false" ht="15" hidden="false" customHeight="false" outlineLevel="0" collapsed="false">
      <c r="A195" s="12" t="s">
        <v>981</v>
      </c>
      <c r="B195" s="12" t="s">
        <v>980</v>
      </c>
    </row>
    <row r="196" customFormat="false" ht="15" hidden="false" customHeight="false" outlineLevel="0" collapsed="false">
      <c r="A196" s="12" t="s">
        <v>985</v>
      </c>
      <c r="B196" s="12" t="s">
        <v>984</v>
      </c>
    </row>
    <row r="197" customFormat="false" ht="15" hidden="false" customHeight="false" outlineLevel="0" collapsed="false">
      <c r="A197" s="12" t="s">
        <v>989</v>
      </c>
      <c r="B197" s="12" t="s">
        <v>988</v>
      </c>
    </row>
    <row r="198" customFormat="false" ht="15" hidden="false" customHeight="false" outlineLevel="0" collapsed="false">
      <c r="A198" s="12" t="s">
        <v>992</v>
      </c>
      <c r="B198" s="12" t="s">
        <v>991</v>
      </c>
    </row>
    <row r="199" customFormat="false" ht="15" hidden="false" customHeight="false" outlineLevel="0" collapsed="false">
      <c r="A199" s="12" t="s">
        <v>995</v>
      </c>
      <c r="B199" s="12" t="s">
        <v>994</v>
      </c>
      <c r="C199" s="12" t="s">
        <v>996</v>
      </c>
    </row>
    <row r="200" customFormat="false" ht="15" hidden="false" customHeight="false" outlineLevel="0" collapsed="false">
      <c r="A200" s="12" t="s">
        <v>999</v>
      </c>
      <c r="B200" s="12" t="s">
        <v>998</v>
      </c>
      <c r="C200" s="12" t="s">
        <v>1000</v>
      </c>
    </row>
    <row r="201" customFormat="false" ht="15" hidden="false" customHeight="false" outlineLevel="0" collapsed="false">
      <c r="A201" s="12" t="s">
        <v>1003</v>
      </c>
      <c r="B201" s="12" t="s">
        <v>1002</v>
      </c>
      <c r="C201" s="12" t="s">
        <v>1004</v>
      </c>
    </row>
    <row r="202" customFormat="false" ht="15" hidden="false" customHeight="false" outlineLevel="0" collapsed="false">
      <c r="A202" s="12" t="s">
        <v>1007</v>
      </c>
      <c r="B202" s="12" t="s">
        <v>913</v>
      </c>
      <c r="C202" s="12" t="s">
        <v>1421</v>
      </c>
    </row>
    <row r="203" customFormat="false" ht="15" hidden="false" customHeight="false" outlineLevel="0" collapsed="false">
      <c r="A203" s="12" t="s">
        <v>1422</v>
      </c>
      <c r="C203" s="12" t="s">
        <v>1423</v>
      </c>
    </row>
    <row r="204" customFormat="false" ht="15" hidden="false" customHeight="false" outlineLevel="0" collapsed="false">
      <c r="A204" s="12" t="s">
        <v>1422</v>
      </c>
      <c r="C204" s="12" t="s">
        <v>1424</v>
      </c>
    </row>
    <row r="205" customFormat="false" ht="15" hidden="false" customHeight="false" outlineLevel="0" collapsed="false">
      <c r="A205" s="12" t="s">
        <v>1012</v>
      </c>
      <c r="B205" s="12" t="s">
        <v>917</v>
      </c>
      <c r="C205" s="12" t="s">
        <v>1425</v>
      </c>
    </row>
    <row r="206" customFormat="false" ht="15" hidden="false" customHeight="false" outlineLevel="0" collapsed="false">
      <c r="A206" s="12" t="s">
        <v>1422</v>
      </c>
      <c r="C206" s="12" t="s">
        <v>1426</v>
      </c>
    </row>
    <row r="207" customFormat="false" ht="15" hidden="false" customHeight="false" outlineLevel="0" collapsed="false">
      <c r="A207" s="12" t="s">
        <v>1017</v>
      </c>
      <c r="B207" s="12" t="s">
        <v>921</v>
      </c>
      <c r="C207" s="12" t="s">
        <v>1018</v>
      </c>
    </row>
    <row r="208" customFormat="false" ht="15" hidden="false" customHeight="false" outlineLevel="0" collapsed="false">
      <c r="A208" s="12" t="s">
        <v>1022</v>
      </c>
      <c r="B208" s="12" t="s">
        <v>925</v>
      </c>
      <c r="C208" s="12" t="s">
        <v>1427</v>
      </c>
    </row>
    <row r="209" customFormat="false" ht="15" hidden="false" customHeight="false" outlineLevel="0" collapsed="false">
      <c r="A209" s="12" t="s">
        <v>1422</v>
      </c>
      <c r="C209" s="12" t="s">
        <v>1428</v>
      </c>
    </row>
    <row r="210" customFormat="false" ht="15" hidden="false" customHeight="false" outlineLevel="0" collapsed="false">
      <c r="A210" s="12" t="s">
        <v>1429</v>
      </c>
      <c r="B210" s="12" t="s">
        <v>1026</v>
      </c>
      <c r="C210" s="12" t="s">
        <v>1028</v>
      </c>
    </row>
    <row r="211" customFormat="false" ht="15" hidden="false" customHeight="false" outlineLevel="0" collapsed="false">
      <c r="A211" s="12" t="s">
        <v>1032</v>
      </c>
      <c r="B211" s="12" t="s">
        <v>1031</v>
      </c>
      <c r="C211" s="12" t="s">
        <v>1033</v>
      </c>
    </row>
    <row r="212" customFormat="false" ht="15" hidden="false" customHeight="false" outlineLevel="0" collapsed="false">
      <c r="A212" s="12" t="s">
        <v>1037</v>
      </c>
      <c r="B212" s="12" t="s">
        <v>1036</v>
      </c>
      <c r="C212" s="12" t="s">
        <v>1038</v>
      </c>
    </row>
    <row r="213" customFormat="false" ht="15" hidden="false" customHeight="false" outlineLevel="0" collapsed="false">
      <c r="A213" s="12" t="s">
        <v>1430</v>
      </c>
      <c r="B213" s="12" t="s">
        <v>1040</v>
      </c>
      <c r="C213" s="12" t="s">
        <v>1042</v>
      </c>
    </row>
    <row r="214" customFormat="false" ht="15" hidden="false" customHeight="false" outlineLevel="0" collapsed="false">
      <c r="A214" s="12" t="s">
        <v>1431</v>
      </c>
      <c r="C214" s="14" t="s">
        <v>1046</v>
      </c>
    </row>
    <row r="215" customFormat="false" ht="15" hidden="false" customHeight="false" outlineLevel="0" collapsed="false">
      <c r="A215" s="12" t="s">
        <v>1051</v>
      </c>
      <c r="B215" s="12" t="s">
        <v>1050</v>
      </c>
      <c r="C215" s="12" t="s">
        <v>1432</v>
      </c>
    </row>
    <row r="216" customFormat="false" ht="15" hidden="false" customHeight="false" outlineLevel="0" collapsed="false">
      <c r="A216" s="12" t="s">
        <v>1056</v>
      </c>
      <c r="B216" s="12" t="s">
        <v>1055</v>
      </c>
      <c r="C216" s="12" t="s">
        <v>1057</v>
      </c>
    </row>
    <row r="217" customFormat="false" ht="15" hidden="false" customHeight="false" outlineLevel="0" collapsed="false">
      <c r="A217" s="12" t="s">
        <v>1060</v>
      </c>
      <c r="B217" s="12" t="s">
        <v>1059</v>
      </c>
      <c r="C217" s="12" t="s">
        <v>1061</v>
      </c>
    </row>
    <row r="218" customFormat="false" ht="15" hidden="false" customHeight="false" outlineLevel="0" collapsed="false">
      <c r="A218" s="12" t="s">
        <v>1433</v>
      </c>
      <c r="B218" s="12" t="s">
        <v>1063</v>
      </c>
      <c r="C218" s="12" t="s">
        <v>1065</v>
      </c>
    </row>
    <row r="219" customFormat="false" ht="15" hidden="false" customHeight="false" outlineLevel="0" collapsed="false">
      <c r="A219" s="12" t="s">
        <v>1070</v>
      </c>
      <c r="B219" s="12" t="s">
        <v>1069</v>
      </c>
      <c r="C219" s="12" t="s">
        <v>1434</v>
      </c>
    </row>
    <row r="220" customFormat="false" ht="15" hidden="false" customHeight="false" outlineLevel="0" collapsed="false">
      <c r="A220" s="12" t="s">
        <v>1422</v>
      </c>
      <c r="C220" s="12" t="s">
        <v>1435</v>
      </c>
    </row>
    <row r="221" customFormat="false" ht="15" hidden="false" customHeight="false" outlineLevel="0" collapsed="false">
      <c r="A221" s="12" t="s">
        <v>504</v>
      </c>
      <c r="B221" s="12" t="s">
        <v>1074</v>
      </c>
      <c r="C221" s="12" t="s">
        <v>1436</v>
      </c>
    </row>
    <row r="222" customFormat="false" ht="15" hidden="false" customHeight="false" outlineLevel="0" collapsed="false">
      <c r="A222" s="12" t="s">
        <v>1422</v>
      </c>
      <c r="C222" s="12" t="s">
        <v>1437</v>
      </c>
    </row>
    <row r="223" customFormat="false" ht="15" hidden="false" customHeight="false" outlineLevel="0" collapsed="false">
      <c r="A223" s="12" t="s">
        <v>1079</v>
      </c>
      <c r="B223" s="12" t="s">
        <v>1078</v>
      </c>
      <c r="C223" s="12" t="s">
        <v>1080</v>
      </c>
    </row>
    <row r="224" customFormat="false" ht="15" hidden="false" customHeight="false" outlineLevel="0" collapsed="false">
      <c r="A224" s="12" t="s">
        <v>1079</v>
      </c>
      <c r="B224" s="12" t="s">
        <v>1082</v>
      </c>
      <c r="C224" s="12" t="s">
        <v>1083</v>
      </c>
    </row>
    <row r="225" customFormat="false" ht="15" hidden="false" customHeight="false" outlineLevel="0" collapsed="false">
      <c r="A225" s="12" t="s">
        <v>1079</v>
      </c>
      <c r="B225" s="12" t="s">
        <v>1085</v>
      </c>
      <c r="C225" s="12" t="s">
        <v>1086</v>
      </c>
    </row>
    <row r="226" customFormat="false" ht="15" hidden="false" customHeight="false" outlineLevel="0" collapsed="false">
      <c r="A226" s="12" t="s">
        <v>1079</v>
      </c>
      <c r="B226" s="12" t="s">
        <v>1088</v>
      </c>
      <c r="C226" s="12" t="s">
        <v>1089</v>
      </c>
    </row>
    <row r="227" customFormat="false" ht="15" hidden="false" customHeight="false" outlineLevel="0" collapsed="false">
      <c r="A227" s="12" t="s">
        <v>1092</v>
      </c>
      <c r="B227" s="12" t="s">
        <v>1091</v>
      </c>
      <c r="C227" s="12" t="s">
        <v>1093</v>
      </c>
    </row>
    <row r="228" customFormat="false" ht="15" hidden="false" customHeight="false" outlineLevel="0" collapsed="false">
      <c r="A228" s="12" t="s">
        <v>1079</v>
      </c>
      <c r="B228" s="12" t="s">
        <v>1096</v>
      </c>
      <c r="C228" s="12" t="s">
        <v>1097</v>
      </c>
    </row>
    <row r="229" customFormat="false" ht="15" hidden="false" customHeight="false" outlineLevel="0" collapsed="false">
      <c r="A229" s="12" t="s">
        <v>1100</v>
      </c>
      <c r="B229" s="12" t="s">
        <v>1099</v>
      </c>
      <c r="C229" s="12" t="s">
        <v>1101</v>
      </c>
    </row>
    <row r="230" customFormat="false" ht="15" hidden="false" customHeight="false" outlineLevel="0" collapsed="false">
      <c r="A230" s="12" t="s">
        <v>1092</v>
      </c>
      <c r="B230" s="12" t="s">
        <v>1103</v>
      </c>
      <c r="C230" s="12" t="s">
        <v>1104</v>
      </c>
    </row>
    <row r="231" customFormat="false" ht="15" hidden="false" customHeight="false" outlineLevel="0" collapsed="false">
      <c r="A231" s="12" t="s">
        <v>1108</v>
      </c>
      <c r="B231" s="12" t="s">
        <v>1107</v>
      </c>
      <c r="C231" s="12" t="s">
        <v>1109</v>
      </c>
    </row>
    <row r="232" customFormat="false" ht="15" hidden="false" customHeight="false" outlineLevel="0" collapsed="false">
      <c r="A232" s="12" t="s">
        <v>1108</v>
      </c>
      <c r="B232" s="12" t="s">
        <v>1112</v>
      </c>
      <c r="C232" s="12" t="s">
        <v>1113</v>
      </c>
    </row>
    <row r="233" customFormat="false" ht="15" hidden="false" customHeight="false" outlineLevel="0" collapsed="false">
      <c r="A233" s="12" t="s">
        <v>660</v>
      </c>
      <c r="B233" s="12" t="s">
        <v>1115</v>
      </c>
      <c r="C233" s="12" t="s">
        <v>1116</v>
      </c>
    </row>
    <row r="234" customFormat="false" ht="15" hidden="false" customHeight="false" outlineLevel="0" collapsed="false">
      <c r="A234" s="12" t="s">
        <v>1118</v>
      </c>
      <c r="B234" s="12" t="s">
        <v>652</v>
      </c>
      <c r="C234" s="12" t="s">
        <v>1119</v>
      </c>
    </row>
    <row r="235" customFormat="false" ht="15" hidden="false" customHeight="false" outlineLevel="0" collapsed="false">
      <c r="A235" s="12" t="s">
        <v>1110</v>
      </c>
      <c r="B235" s="12" t="s">
        <v>1123</v>
      </c>
      <c r="C235" s="12" t="s">
        <v>1124</v>
      </c>
    </row>
    <row r="236" customFormat="false" ht="15" hidden="false" customHeight="false" outlineLevel="0" collapsed="false">
      <c r="A236" s="12" t="s">
        <v>1127</v>
      </c>
      <c r="B236" s="12" t="s">
        <v>1126</v>
      </c>
    </row>
    <row r="237" customFormat="false" ht="15" hidden="false" customHeight="false" outlineLevel="0" collapsed="false">
      <c r="A237" s="12" t="s">
        <v>1127</v>
      </c>
      <c r="B237" s="12" t="s">
        <v>1129</v>
      </c>
      <c r="C237" s="12" t="s">
        <v>1130</v>
      </c>
    </row>
    <row r="238" customFormat="false" ht="15" hidden="false" customHeight="false" outlineLevel="0" collapsed="false">
      <c r="A238" s="12" t="s">
        <v>1133</v>
      </c>
      <c r="B238" s="12" t="s">
        <v>657</v>
      </c>
      <c r="C238" s="12" t="s">
        <v>1134</v>
      </c>
    </row>
    <row r="239" customFormat="false" ht="15" hidden="false" customHeight="false" outlineLevel="0" collapsed="false">
      <c r="A239" s="12" t="s">
        <v>1133</v>
      </c>
      <c r="B239" s="12" t="s">
        <v>1138</v>
      </c>
      <c r="C239" s="12" t="s">
        <v>1139</v>
      </c>
    </row>
    <row r="240" customFormat="false" ht="15" hidden="false" customHeight="false" outlineLevel="0" collapsed="false">
      <c r="A240" s="12" t="s">
        <v>1110</v>
      </c>
      <c r="B240" s="12" t="s">
        <v>1142</v>
      </c>
      <c r="C240" s="12" t="s">
        <v>1113</v>
      </c>
    </row>
    <row r="241" customFormat="false" ht="15" hidden="false" customHeight="false" outlineLevel="0" collapsed="false">
      <c r="A241" s="12" t="s">
        <v>1133</v>
      </c>
      <c r="B241" s="12" t="s">
        <v>1144</v>
      </c>
      <c r="C241" s="12" t="s">
        <v>1145</v>
      </c>
    </row>
    <row r="242" customFormat="false" ht="15" hidden="false" customHeight="false" outlineLevel="0" collapsed="false">
      <c r="A242" s="12" t="s">
        <v>1133</v>
      </c>
      <c r="B242" s="12" t="s">
        <v>1148</v>
      </c>
      <c r="C242" s="12" t="s">
        <v>1149</v>
      </c>
    </row>
    <row r="243" customFormat="false" ht="15" hidden="false" customHeight="false" outlineLevel="0" collapsed="false">
      <c r="A243" s="12" t="s">
        <v>1133</v>
      </c>
      <c r="B243" s="12" t="s">
        <v>1152</v>
      </c>
      <c r="C243" s="12" t="s">
        <v>1153</v>
      </c>
    </row>
    <row r="244" customFormat="false" ht="15" hidden="false" customHeight="false" outlineLevel="0" collapsed="false">
      <c r="A244" s="12" t="s">
        <v>1133</v>
      </c>
      <c r="B244" s="12" t="s">
        <v>1156</v>
      </c>
      <c r="C244" s="12" t="s">
        <v>1157</v>
      </c>
    </row>
    <row r="245" customFormat="false" ht="15" hidden="false" customHeight="false" outlineLevel="0" collapsed="false">
      <c r="A245" s="12" t="s">
        <v>1133</v>
      </c>
      <c r="B245" s="12" t="s">
        <v>1160</v>
      </c>
      <c r="C245" s="12" t="s">
        <v>1161</v>
      </c>
    </row>
    <row r="246" customFormat="false" ht="15" hidden="false" customHeight="false" outlineLevel="0" collapsed="false">
      <c r="A246" s="12" t="s">
        <v>1133</v>
      </c>
      <c r="B246" s="12" t="s">
        <v>1164</v>
      </c>
      <c r="C246" s="12" t="s">
        <v>1165</v>
      </c>
    </row>
    <row r="247" customFormat="false" ht="15" hidden="false" customHeight="false" outlineLevel="0" collapsed="false">
      <c r="A247" s="12" t="s">
        <v>1133</v>
      </c>
      <c r="B247" s="12" t="s">
        <v>1168</v>
      </c>
      <c r="C247" s="12" t="s">
        <v>1438</v>
      </c>
    </row>
    <row r="248" customFormat="false" ht="15" hidden="false" customHeight="false" outlineLevel="0" collapsed="false">
      <c r="A248" s="12" t="s">
        <v>1422</v>
      </c>
      <c r="C248" s="12" t="s">
        <v>1439</v>
      </c>
    </row>
    <row r="249" customFormat="false" ht="15" hidden="false" customHeight="false" outlineLevel="0" collapsed="false">
      <c r="A249" s="12" t="s">
        <v>1133</v>
      </c>
      <c r="B249" s="12" t="s">
        <v>1172</v>
      </c>
      <c r="C249" s="12" t="s">
        <v>1440</v>
      </c>
    </row>
    <row r="250" customFormat="false" ht="15" hidden="false" customHeight="false" outlineLevel="0" collapsed="false">
      <c r="A250" s="12" t="s">
        <v>1422</v>
      </c>
      <c r="C250" s="12" t="s">
        <v>1441</v>
      </c>
    </row>
    <row r="251" customFormat="false" ht="15" hidden="false" customHeight="false" outlineLevel="0" collapsed="false">
      <c r="A251" s="12" t="s">
        <v>1133</v>
      </c>
      <c r="B251" s="12" t="s">
        <v>1176</v>
      </c>
      <c r="C251" s="12" t="s">
        <v>1177</v>
      </c>
    </row>
    <row r="252" customFormat="false" ht="15" hidden="false" customHeight="false" outlineLevel="0" collapsed="false">
      <c r="A252" s="12" t="s">
        <v>1133</v>
      </c>
      <c r="B252" s="12" t="s">
        <v>1180</v>
      </c>
      <c r="C252" s="12" t="s">
        <v>1181</v>
      </c>
    </row>
    <row r="253" customFormat="false" ht="15" hidden="false" customHeight="false" outlineLevel="0" collapsed="false">
      <c r="A253" s="12" t="s">
        <v>1133</v>
      </c>
      <c r="B253" s="12" t="s">
        <v>1183</v>
      </c>
      <c r="C253" s="12" t="s">
        <v>1184</v>
      </c>
    </row>
    <row r="254" customFormat="false" ht="15" hidden="false" customHeight="false" outlineLevel="0" collapsed="false">
      <c r="A254" s="12" t="s">
        <v>1133</v>
      </c>
      <c r="B254" s="12" t="s">
        <v>1187</v>
      </c>
      <c r="C254" s="12" t="s">
        <v>1188</v>
      </c>
    </row>
    <row r="255" customFormat="false" ht="15" hidden="false" customHeight="false" outlineLevel="0" collapsed="false">
      <c r="A255" s="12" t="s">
        <v>1133</v>
      </c>
      <c r="B255" s="12" t="s">
        <v>1191</v>
      </c>
      <c r="C255" s="12" t="s">
        <v>1192</v>
      </c>
    </row>
    <row r="256" customFormat="false" ht="15" hidden="false" customHeight="false" outlineLevel="0" collapsed="false">
      <c r="A256" s="12" t="s">
        <v>1133</v>
      </c>
      <c r="B256" s="12" t="s">
        <v>1195</v>
      </c>
      <c r="C256" s="12" t="s">
        <v>1196</v>
      </c>
    </row>
    <row r="257" customFormat="false" ht="15" hidden="false" customHeight="false" outlineLevel="0" collapsed="false">
      <c r="A257" s="12" t="s">
        <v>1200</v>
      </c>
      <c r="B257" s="12" t="s">
        <v>1199</v>
      </c>
      <c r="C257" s="12" t="s">
        <v>1201</v>
      </c>
    </row>
    <row r="258" customFormat="false" ht="15" hidden="false" customHeight="false" outlineLevel="0" collapsed="false">
      <c r="A258" s="12" t="s">
        <v>1110</v>
      </c>
      <c r="B258" s="12" t="s">
        <v>1204</v>
      </c>
      <c r="C258" s="12" t="s">
        <v>1205</v>
      </c>
    </row>
    <row r="259" customFormat="false" ht="15" hidden="false" customHeight="false" outlineLevel="0" collapsed="false">
      <c r="A259" s="12" t="s">
        <v>1110</v>
      </c>
      <c r="B259" s="12" t="s">
        <v>1207</v>
      </c>
      <c r="C259" s="12" t="s">
        <v>1208</v>
      </c>
    </row>
    <row r="260" customFormat="false" ht="15" hidden="false" customHeight="false" outlineLevel="0" collapsed="false">
      <c r="A260" s="12" t="s">
        <v>1133</v>
      </c>
      <c r="B260" s="12" t="s">
        <v>1210</v>
      </c>
      <c r="C260" s="12" t="s">
        <v>1442</v>
      </c>
    </row>
    <row r="261" customFormat="false" ht="15" hidden="false" customHeight="false" outlineLevel="0" collapsed="false">
      <c r="A261" s="12" t="s">
        <v>1422</v>
      </c>
      <c r="C261" s="12" t="s">
        <v>1443</v>
      </c>
    </row>
    <row r="262" customFormat="false" ht="15" hidden="false" customHeight="false" outlineLevel="0" collapsed="false">
      <c r="A262" s="12" t="s">
        <v>1215</v>
      </c>
      <c r="B262" s="12" t="s">
        <v>1214</v>
      </c>
      <c r="C262" s="12" t="s">
        <v>1216</v>
      </c>
    </row>
    <row r="263" customFormat="false" ht="15" hidden="false" customHeight="false" outlineLevel="0" collapsed="false">
      <c r="A263" s="12" t="s">
        <v>1220</v>
      </c>
      <c r="B263" s="12" t="s">
        <v>1219</v>
      </c>
      <c r="C263" s="12" t="s">
        <v>1221</v>
      </c>
    </row>
    <row r="264" customFormat="false" ht="15" hidden="false" customHeight="false" outlineLevel="0" collapsed="false">
      <c r="A264" s="12" t="s">
        <v>1133</v>
      </c>
      <c r="B264" s="12" t="s">
        <v>1224</v>
      </c>
      <c r="C264" s="12" t="s">
        <v>1225</v>
      </c>
    </row>
    <row r="265" customFormat="false" ht="15" hidden="false" customHeight="false" outlineLevel="0" collapsed="false">
      <c r="A265" s="12" t="s">
        <v>1110</v>
      </c>
      <c r="B265" s="12" t="s">
        <v>1228</v>
      </c>
      <c r="C265" s="12" t="s">
        <v>1229</v>
      </c>
    </row>
    <row r="266" customFormat="false" ht="15" hidden="false" customHeight="false" outlineLevel="0" collapsed="false">
      <c r="A266" s="12" t="s">
        <v>1133</v>
      </c>
      <c r="B266" s="12" t="s">
        <v>1231</v>
      </c>
      <c r="C266" s="12" t="s">
        <v>1232</v>
      </c>
    </row>
    <row r="267" customFormat="false" ht="15" hidden="false" customHeight="false" outlineLevel="0" collapsed="false">
      <c r="A267" s="12" t="s">
        <v>1133</v>
      </c>
      <c r="B267" s="12" t="s">
        <v>1235</v>
      </c>
      <c r="C267" s="12" t="s">
        <v>1236</v>
      </c>
    </row>
    <row r="268" customFormat="false" ht="15" hidden="false" customHeight="false" outlineLevel="0" collapsed="false">
      <c r="A268" s="12" t="s">
        <v>1133</v>
      </c>
      <c r="B268" s="12" t="s">
        <v>1238</v>
      </c>
      <c r="C268" s="12" t="s">
        <v>1239</v>
      </c>
    </row>
    <row r="269" customFormat="false" ht="15" hidden="false" customHeight="false" outlineLevel="0" collapsed="false">
      <c r="A269" s="12" t="s">
        <v>1243</v>
      </c>
      <c r="B269" s="12" t="s">
        <v>1242</v>
      </c>
      <c r="C269" s="12" t="s">
        <v>1243</v>
      </c>
    </row>
    <row r="270" customFormat="false" ht="15" hidden="false" customHeight="false" outlineLevel="0" collapsed="false">
      <c r="A270" s="12" t="s">
        <v>1246</v>
      </c>
      <c r="B270" s="12" t="s">
        <v>1245</v>
      </c>
      <c r="C270" s="12" t="s">
        <v>1247</v>
      </c>
    </row>
    <row r="271" customFormat="false" ht="15" hidden="false" customHeight="false" outlineLevel="0" collapsed="false">
      <c r="A271" s="12" t="s">
        <v>1251</v>
      </c>
      <c r="B271" s="12" t="s">
        <v>1250</v>
      </c>
      <c r="C271" s="12" t="s">
        <v>1252</v>
      </c>
    </row>
    <row r="272" customFormat="false" ht="15" hidden="false" customHeight="false" outlineLevel="0" collapsed="false">
      <c r="A272" s="12" t="s">
        <v>1256</v>
      </c>
      <c r="B272" s="12" t="s">
        <v>1255</v>
      </c>
      <c r="C272" s="12" t="s">
        <v>1257</v>
      </c>
    </row>
    <row r="273" customFormat="false" ht="15" hidden="false" customHeight="false" outlineLevel="0" collapsed="false">
      <c r="A273" s="12" t="s">
        <v>1261</v>
      </c>
      <c r="B273" s="12" t="s">
        <v>1260</v>
      </c>
      <c r="C273" s="12" t="s">
        <v>1262</v>
      </c>
    </row>
    <row r="274" customFormat="false" ht="15" hidden="false" customHeight="false" outlineLevel="0" collapsed="false">
      <c r="A274" s="12" t="s">
        <v>1266</v>
      </c>
      <c r="B274" s="12" t="s">
        <v>1265</v>
      </c>
      <c r="C274" s="12" t="s">
        <v>1267</v>
      </c>
    </row>
    <row r="275" customFormat="false" ht="15" hidden="false" customHeight="false" outlineLevel="0" collapsed="false">
      <c r="A275" s="12" t="s">
        <v>1266</v>
      </c>
      <c r="B275" s="12" t="s">
        <v>1270</v>
      </c>
      <c r="C275" s="12" t="s">
        <v>1271</v>
      </c>
    </row>
    <row r="276" customFormat="false" ht="15" hidden="false" customHeight="false" outlineLevel="0" collapsed="false">
      <c r="A276" s="12" t="s">
        <v>1274</v>
      </c>
      <c r="B276" s="12" t="s">
        <v>1273</v>
      </c>
      <c r="C276" s="12" t="s">
        <v>1275</v>
      </c>
    </row>
    <row r="277" customFormat="false" ht="15" hidden="false" customHeight="false" outlineLevel="0" collapsed="false">
      <c r="A277" s="12" t="s">
        <v>1278</v>
      </c>
      <c r="B277" s="12" t="s">
        <v>1277</v>
      </c>
      <c r="C277" s="12" t="s">
        <v>1279</v>
      </c>
    </row>
    <row r="278" customFormat="false" ht="15" hidden="false" customHeight="false" outlineLevel="0" collapsed="false">
      <c r="A278" s="12" t="s">
        <v>1283</v>
      </c>
      <c r="B278" s="12" t="s">
        <v>1282</v>
      </c>
      <c r="C278" s="12" t="s">
        <v>1284</v>
      </c>
    </row>
    <row r="279" customFormat="false" ht="15" hidden="false" customHeight="false" outlineLevel="0" collapsed="false">
      <c r="A279" s="12" t="s">
        <v>1444</v>
      </c>
      <c r="B279" s="12" t="s">
        <v>1287</v>
      </c>
      <c r="C279" s="12" t="s">
        <v>1288</v>
      </c>
    </row>
    <row r="280" customFormat="false" ht="15" hidden="false" customHeight="false" outlineLevel="0" collapsed="false">
      <c r="A280" s="12" t="s">
        <v>1200</v>
      </c>
      <c r="B280" s="12" t="s">
        <v>1291</v>
      </c>
      <c r="C280" s="12" t="s">
        <v>1292</v>
      </c>
    </row>
    <row r="281" customFormat="false" ht="15" hidden="false" customHeight="false" outlineLevel="0" collapsed="false">
      <c r="A281" s="12" t="s">
        <v>1295</v>
      </c>
      <c r="B281" s="12" t="s">
        <v>1294</v>
      </c>
      <c r="C281" s="12" t="s">
        <v>1296</v>
      </c>
    </row>
    <row r="282" customFormat="false" ht="15" hidden="false" customHeight="false" outlineLevel="0" collapsed="false">
      <c r="A282" s="12" t="s">
        <v>1300</v>
      </c>
      <c r="B282" s="12" t="s">
        <v>1299</v>
      </c>
      <c r="C282" s="12" t="s">
        <v>1301</v>
      </c>
    </row>
    <row r="283" customFormat="false" ht="15" hidden="false" customHeight="false" outlineLevel="0" collapsed="false">
      <c r="A283" s="12" t="s">
        <v>1305</v>
      </c>
      <c r="B283" s="12" t="s">
        <v>1304</v>
      </c>
      <c r="C283" s="12" t="s">
        <v>1306</v>
      </c>
    </row>
    <row r="284" customFormat="false" ht="15" hidden="false" customHeight="false" outlineLevel="0" collapsed="false">
      <c r="A284" s="12" t="s">
        <v>1310</v>
      </c>
      <c r="B284" s="12" t="s">
        <v>1309</v>
      </c>
      <c r="C284" s="12" t="s">
        <v>1311</v>
      </c>
    </row>
    <row r="285" customFormat="false" ht="15" hidden="false" customHeight="false" outlineLevel="0" collapsed="false">
      <c r="A285" s="12" t="s">
        <v>1315</v>
      </c>
      <c r="B285" s="12" t="s">
        <v>1314</v>
      </c>
      <c r="C285" s="12" t="s">
        <v>1316</v>
      </c>
    </row>
    <row r="286" customFormat="false" ht="15" hidden="false" customHeight="false" outlineLevel="0" collapsed="false">
      <c r="A286" s="12" t="s">
        <v>1315</v>
      </c>
      <c r="B286" s="12" t="s">
        <v>1319</v>
      </c>
      <c r="C286" s="12" t="s">
        <v>1445</v>
      </c>
    </row>
    <row r="287" customFormat="false" ht="15" hidden="false" customHeight="false" outlineLevel="0" collapsed="false">
      <c r="A287" s="12" t="s">
        <v>1422</v>
      </c>
      <c r="C287" s="12" t="s">
        <v>1446</v>
      </c>
    </row>
    <row r="288" customFormat="false" ht="15" hidden="false" customHeight="false" outlineLevel="0" collapsed="false">
      <c r="A288" s="12" t="s">
        <v>359</v>
      </c>
      <c r="B288" s="12" t="s">
        <v>209</v>
      </c>
      <c r="C288" s="12" t="s">
        <v>1447</v>
      </c>
    </row>
    <row r="289" customFormat="false" ht="15" hidden="false" customHeight="false" outlineLevel="0" collapsed="false">
      <c r="A289" s="12" t="s">
        <v>1422</v>
      </c>
      <c r="C289" s="12" t="s">
        <v>1448</v>
      </c>
    </row>
    <row r="290" customFormat="false" ht="15" hidden="false" customHeight="false" outlineLevel="0" collapsed="false">
      <c r="A290" s="12" t="s">
        <v>1422</v>
      </c>
      <c r="C290" s="12" t="s">
        <v>1449</v>
      </c>
    </row>
    <row r="291" customFormat="false" ht="15" hidden="false" customHeight="false" outlineLevel="0" collapsed="false">
      <c r="A291" s="12" t="s">
        <v>1328</v>
      </c>
      <c r="B291" s="12" t="s">
        <v>1327</v>
      </c>
      <c r="C291" s="12" t="s">
        <v>1329</v>
      </c>
      <c r="D291" s="15" t="n">
        <v>43857</v>
      </c>
    </row>
  </sheetData>
  <mergeCells count="5">
    <mergeCell ref="A150:A153"/>
    <mergeCell ref="B150:B153"/>
    <mergeCell ref="C150:C153"/>
    <mergeCell ref="A154:A159"/>
    <mergeCell ref="B154:B1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2026-10-29T16:55:40Z</dcterms:created>
  <dc:creator>openpyxl</dc:creator>
  <dc:description/>
  <dc:language>en-US</dc:language>
  <cp:lastModifiedBy/>
  <dcterms:modified xsi:type="dcterms:W3CDTF">2026-10-29T16:55:41Z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